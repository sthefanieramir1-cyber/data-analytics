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pivotTables/pivotTable6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hef\data-analytics\Capstone_1\"/>
    </mc:Choice>
  </mc:AlternateContent>
  <xr:revisionPtr revIDLastSave="0" documentId="13_ncr:1_{CAD5F769-65FE-48FE-9A3C-33F8B87B0684}" xr6:coauthVersionLast="47" xr6:coauthVersionMax="47" xr10:uidLastSave="{00000000-0000-0000-0000-000000000000}"/>
  <bookViews>
    <workbookView xWindow="460" yWindow="0" windowWidth="18900" windowHeight="10170" firstSheet="5" activeTab="7" xr2:uid="{65709D1B-2BFA-49C7-A195-4CA7073BAFA1}"/>
  </bookViews>
  <sheets>
    <sheet name="LTV_Report_PhysicalST " sheetId="4" r:id="rId1"/>
    <sheet name="Category_Breakdown" sheetId="17" r:id="rId2"/>
    <sheet name="Annual_Revenue_SM" sheetId="8" r:id="rId3"/>
    <sheet name="ST_PR_Rank" sheetId="18" r:id="rId4"/>
    <sheet name="Montly_Sales_RP_22" sheetId="10" r:id="rId5"/>
    <sheet name="Montly_Sales_RP_23" sheetId="13" r:id="rId6"/>
    <sheet name="Montly_Sales_RP_24" sheetId="14" r:id="rId7"/>
    <sheet name="Montly_Sales_RP_25" sheetId="15" r:id="rId8"/>
  </sheet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B50" i="4"/>
  <c r="J50" i="4"/>
  <c r="I50" i="4"/>
  <c r="H50" i="4"/>
  <c r="G50" i="4"/>
  <c r="F50" i="4"/>
  <c r="E50" i="4"/>
  <c r="D50" i="4"/>
  <c r="C50" i="4"/>
</calcChain>
</file>

<file path=xl/sharedStrings.xml><?xml version="1.0" encoding="utf-8"?>
<sst xmlns="http://schemas.openxmlformats.org/spreadsheetml/2006/main" count="1123" uniqueCount="122">
  <si>
    <t>Monthly_Sales</t>
  </si>
  <si>
    <t>Average_Revenue</t>
  </si>
  <si>
    <t>Apparel</t>
  </si>
  <si>
    <t>Art_Supplies</t>
  </si>
  <si>
    <t>Books</t>
  </si>
  <si>
    <t>Stationery</t>
  </si>
  <si>
    <t>Technology</t>
  </si>
  <si>
    <t>Textbooks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</si>
  <si>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</si>
  <si>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</si>
  <si>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</si>
  <si>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</si>
  <si>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</si>
  <si>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</si>
  <si>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</si>
  <si>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</si>
  <si>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</si>
  <si>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</si>
  <si>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</si>
  <si>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</si>
  <si>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</si>
  <si>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</si>
  <si>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</si>
  <si>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</si>
  <si>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</si>
  <si>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</si>
  <si>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</si>
  <si>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</si>
  <si>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</si>
  <si>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</si>
  <si>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</si>
  <si>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</si>
  <si>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</si>
  <si>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</si>
  <si>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</si>
  <si>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</si>
  <si>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</si>
  <si>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</si>
  <si>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</si>
  <si>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</si>
  <si>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</si>
  <si>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</si>
  <si>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</si>
  <si>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</si>
  <si>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</si>
  <si>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</si>
  <si>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</si>
  <si>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</si>
  <si>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</si>
  <si>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</si>
  <si>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</si>
  <si>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</si>
  <si>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</si>
  <si>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</si>
  <si>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</si>
  <si>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</si>
  <si>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</si>
  <si>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Month</t>
  </si>
  <si>
    <t>Transactions</t>
  </si>
  <si>
    <t>Revenue</t>
  </si>
  <si>
    <t xml:space="preserve"> Art_Supplies</t>
  </si>
  <si>
    <t xml:space="preserve"> Books</t>
  </si>
  <si>
    <t xml:space="preserve"> Stationery</t>
  </si>
  <si>
    <t xml:space="preserve"> Technology</t>
  </si>
  <si>
    <t xml:space="preserve"> Textbooks</t>
  </si>
  <si>
    <t xml:space="preserve"> Apparel</t>
  </si>
  <si>
    <t>Year</t>
  </si>
  <si>
    <t>Total Transactions</t>
  </si>
  <si>
    <t>2022</t>
  </si>
  <si>
    <t>2023</t>
  </si>
  <si>
    <t>2024</t>
  </si>
  <si>
    <t>2025</t>
  </si>
  <si>
    <t>Total Revenue</t>
  </si>
  <si>
    <t xml:space="preserve">Avg Monthly Rev </t>
  </si>
  <si>
    <t>Totals =</t>
  </si>
  <si>
    <t xml:space="preserve"> Art Supplies</t>
  </si>
  <si>
    <t>Growth Per Year</t>
  </si>
  <si>
    <t>Rank</t>
  </si>
  <si>
    <t>Store</t>
  </si>
  <si>
    <t>Note</t>
  </si>
  <si>
    <t>#1</t>
  </si>
  <si>
    <t>Denver</t>
  </si>
  <si>
    <t>$812K</t>
  </si>
  <si>
    <t>Highest revenue all years</t>
  </si>
  <si>
    <t>#2</t>
  </si>
  <si>
    <t>Greeley</t>
  </si>
  <si>
    <t>$754K</t>
  </si>
  <si>
    <t>Strong growth 2024–2025</t>
  </si>
  <si>
    <t>#3</t>
  </si>
  <si>
    <t>Aurora</t>
  </si>
  <si>
    <t>$698K</t>
  </si>
  <si>
    <t>High transaction volume</t>
  </si>
  <si>
    <t>#4</t>
  </si>
  <si>
    <t>Fort Collins</t>
  </si>
  <si>
    <t>$651K</t>
  </si>
  <si>
    <t>Rising steadily since 2023</t>
  </si>
  <si>
    <t>#5</t>
  </si>
  <si>
    <t>Boulder</t>
  </si>
  <si>
    <t>$623K</t>
  </si>
  <si>
    <t>Tech-dominant, solid base</t>
  </si>
  <si>
    <t>Sedalia</t>
  </si>
  <si>
    <t>$198K</t>
  </si>
  <si>
    <t>New Castle</t>
  </si>
  <si>
    <t>$213K</t>
  </si>
  <si>
    <t>Milliken</t>
  </si>
  <si>
    <t>$224K</t>
  </si>
  <si>
    <t>Berthoud</t>
  </si>
  <si>
    <t>$241K</t>
  </si>
  <si>
    <t>Wheat Ridge</t>
  </si>
  <si>
    <t>$268K</t>
  </si>
  <si>
    <t xml:space="preserve">  STORES NEEDING SUPPORT</t>
  </si>
  <si>
    <r>
      <rPr>
        <b/>
        <sz val="11"/>
        <color theme="1"/>
        <rFont val="Arial"/>
        <family val="2"/>
      </rPr>
      <t xml:space="preserve">  TOP PERFORMING STORE</t>
    </r>
    <r>
      <rPr>
        <b/>
        <sz val="11"/>
        <color rgb="FFFFFFFF"/>
        <rFont val="Arial"/>
        <family val="2"/>
      </rPr>
      <t>S</t>
    </r>
  </si>
  <si>
    <t>Castle Rock</t>
  </si>
  <si>
    <t>Englewood</t>
  </si>
  <si>
    <t>Grand Junction</t>
  </si>
  <si>
    <t>Lafayette</t>
  </si>
  <si>
    <t>Littleton</t>
  </si>
  <si>
    <t>Loveland</t>
  </si>
  <si>
    <t>Parker</t>
  </si>
  <si>
    <t>Thornton</t>
  </si>
  <si>
    <t/>
  </si>
  <si>
    <t>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</si>
</sst>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0.0%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rgb="FF375623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theme="9"/>
      <name val="Arial"/>
      <family val="2"/>
    </font>
    <font>
      <b/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BDD7EE"/>
      </left>
      <right style="medium">
        <color rgb="FFBDD7EE"/>
      </right>
      <top/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left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/>
    </xf>
    <xf numFmtId="3" fontId="18" fillId="33" borderId="11" xfId="0" applyNumberFormat="1" applyFont="1" applyFill="1" applyBorder="1" applyAlignment="1">
      <alignment horizontal="center" vertical="center"/>
    </xf>
    <xf numFmtId="164" fontId="18" fillId="33" borderId="11" xfId="0" applyNumberFormat="1" applyFont="1" applyFill="1" applyBorder="1" applyAlignment="1">
      <alignment horizontal="center" vertical="center"/>
    </xf>
    <xf numFmtId="164" fontId="18" fillId="33" borderId="16" xfId="0" applyNumberFormat="1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3" fontId="18" fillId="34" borderId="11" xfId="0" applyNumberFormat="1" applyFont="1" applyFill="1" applyBorder="1" applyAlignment="1">
      <alignment horizontal="center" vertical="center"/>
    </xf>
    <xf numFmtId="164" fontId="18" fillId="34" borderId="11" xfId="0" applyNumberFormat="1" applyFont="1" applyFill="1" applyBorder="1" applyAlignment="1">
      <alignment horizontal="center" vertical="center"/>
    </xf>
    <xf numFmtId="164" fontId="18" fillId="34" borderId="16" xfId="0" applyNumberFormat="1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3" fontId="18" fillId="34" borderId="18" xfId="0" applyNumberFormat="1" applyFont="1" applyFill="1" applyBorder="1" applyAlignment="1">
      <alignment horizontal="center" vertical="center"/>
    </xf>
    <xf numFmtId="164" fontId="18" fillId="34" borderId="18" xfId="0" applyNumberFormat="1" applyFont="1" applyFill="1" applyBorder="1" applyAlignment="1">
      <alignment horizontal="center" vertical="center"/>
    </xf>
    <xf numFmtId="164" fontId="18" fillId="34" borderId="19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35" borderId="21" xfId="0" applyFill="1" applyBorder="1"/>
    <xf numFmtId="0" fontId="0" fillId="34" borderId="22" xfId="0" applyFill="1" applyBorder="1"/>
    <xf numFmtId="0" fontId="0" fillId="35" borderId="22" xfId="0" applyFill="1" applyBorder="1"/>
    <xf numFmtId="0" fontId="0" fillId="34" borderId="23" xfId="0" applyFill="1" applyBorder="1"/>
    <xf numFmtId="0" fontId="0" fillId="35" borderId="25" xfId="0" applyFill="1" applyBorder="1"/>
    <xf numFmtId="0" fontId="0" fillId="34" borderId="26" xfId="0" applyFill="1" applyBorder="1"/>
    <xf numFmtId="0" fontId="0" fillId="35" borderId="26" xfId="0" applyFill="1" applyBorder="1"/>
    <xf numFmtId="0" fontId="0" fillId="34" borderId="27" xfId="0" applyFill="1" applyBorder="1"/>
    <xf numFmtId="0" fontId="19" fillId="34" borderId="28" xfId="0" applyFont="1" applyFill="1" applyBorder="1" applyAlignment="1">
      <alignment horizontal="center" vertical="center" wrapText="1"/>
    </xf>
    <xf numFmtId="165" fontId="18" fillId="34" borderId="11" xfId="0" applyNumberFormat="1" applyFont="1" applyFill="1" applyBorder="1" applyAlignment="1">
      <alignment horizontal="center" vertical="center"/>
    </xf>
    <xf numFmtId="165" fontId="18" fillId="33" borderId="1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9" fontId="18" fillId="33" borderId="11" xfId="2" applyFont="1" applyFill="1" applyBorder="1" applyAlignment="1">
      <alignment horizontal="center" vertical="center"/>
    </xf>
    <xf numFmtId="0" fontId="0" fillId="33" borderId="0" xfId="0" applyFill="1" applyAlignment="1">
      <alignment horizontal="left"/>
    </xf>
    <xf numFmtId="164" fontId="0" fillId="33" borderId="0" xfId="0" applyNumberFormat="1" applyFill="1"/>
    <xf numFmtId="0" fontId="0" fillId="33" borderId="0" xfId="0" applyFill="1"/>
    <xf numFmtId="0" fontId="16" fillId="33" borderId="18" xfId="0" applyFont="1" applyFill="1" applyBorder="1"/>
    <xf numFmtId="0" fontId="16" fillId="33" borderId="24" xfId="0" applyFont="1" applyFill="1" applyBorder="1"/>
    <xf numFmtId="0" fontId="16" fillId="33" borderId="10" xfId="0" applyFont="1" applyFill="1" applyBorder="1"/>
    <xf numFmtId="0" fontId="16" fillId="33" borderId="20" xfId="0" applyFont="1" applyFill="1" applyBorder="1"/>
    <xf numFmtId="44" fontId="0" fillId="0" borderId="0" xfId="1" applyFont="1"/>
    <xf numFmtId="0" fontId="20" fillId="0" borderId="16" xfId="0" applyFont="1" applyBorder="1" applyAlignment="1">
      <alignment horizontal="left" vertical="center" indent="1" readingOrder="1"/>
    </xf>
    <xf numFmtId="0" fontId="20" fillId="0" borderId="29" xfId="0" applyFont="1" applyBorder="1" applyAlignment="1">
      <alignment horizontal="center" vertical="center" readingOrder="1"/>
    </xf>
    <xf numFmtId="0" fontId="0" fillId="0" borderId="29" xfId="0" applyBorder="1"/>
    <xf numFmtId="0" fontId="0" fillId="0" borderId="15" xfId="0" applyBorder="1"/>
    <xf numFmtId="0" fontId="0" fillId="0" borderId="0" xfId="0" applyBorder="1"/>
    <xf numFmtId="0" fontId="19" fillId="0" borderId="16" xfId="0" applyFont="1" applyBorder="1" applyAlignment="1">
      <alignment horizontal="left" vertical="center" indent="1" readingOrder="1"/>
    </xf>
    <xf numFmtId="0" fontId="0" fillId="0" borderId="0" xfId="0" applyAlignment="1">
      <alignment horizontal="left" indent="1"/>
    </xf>
    <xf numFmtId="0" fontId="20" fillId="0" borderId="15" xfId="0" applyFont="1" applyBorder="1" applyAlignment="1">
      <alignment horizontal="center" vertical="center" readingOrder="1"/>
    </xf>
    <xf numFmtId="0" fontId="22" fillId="0" borderId="11" xfId="0" applyFont="1" applyBorder="1" applyAlignment="1">
      <alignment horizontal="left" vertical="center" wrapText="1" readingOrder="1"/>
    </xf>
    <xf numFmtId="0" fontId="23" fillId="0" borderId="11" xfId="0" applyFont="1" applyBorder="1" applyAlignment="1">
      <alignment horizontal="center" vertical="center" wrapText="1" readingOrder="1"/>
    </xf>
    <xf numFmtId="0" fontId="22" fillId="34" borderId="11" xfId="0" applyFont="1" applyFill="1" applyBorder="1" applyAlignment="1">
      <alignment horizontal="left" vertical="center" wrapText="1" readingOrder="1"/>
    </xf>
    <xf numFmtId="0" fontId="23" fillId="34" borderId="11" xfId="0" applyFont="1" applyFill="1" applyBorder="1" applyAlignment="1">
      <alignment horizontal="center" vertical="center" wrapText="1" readingOrder="1"/>
    </xf>
    <xf numFmtId="0" fontId="21" fillId="0" borderId="11" xfId="0" applyFont="1" applyBorder="1" applyAlignment="1">
      <alignment horizontal="center" vertical="center" wrapText="1" readingOrder="1"/>
    </xf>
    <xf numFmtId="0" fontId="24" fillId="0" borderId="11" xfId="0" applyFont="1" applyBorder="1" applyAlignment="1">
      <alignment horizontal="center" vertical="center" wrapText="1" readingOrder="1"/>
    </xf>
    <xf numFmtId="0" fontId="21" fillId="34" borderId="11" xfId="0" applyFont="1" applyFill="1" applyBorder="1" applyAlignment="1">
      <alignment horizontal="center" vertical="center" wrapText="1" readingOrder="1"/>
    </xf>
    <xf numFmtId="0" fontId="24" fillId="34" borderId="11" xfId="0" applyFont="1" applyFill="1" applyBorder="1" applyAlignment="1">
      <alignment horizontal="center" vertical="center" wrapText="1" readingOrder="1"/>
    </xf>
    <xf numFmtId="0" fontId="25" fillId="33" borderId="30" xfId="0" applyFont="1" applyFill="1" applyBorder="1" applyAlignment="1">
      <alignment horizontal="center" vertical="center" wrapText="1" readingOrder="1"/>
    </xf>
    <xf numFmtId="0" fontId="25" fillId="33" borderId="30" xfId="0" applyFont="1" applyFill="1" applyBorder="1" applyAlignment="1">
      <alignment horizontal="left" vertical="center" wrapText="1" readingOrder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[Ramirez_Sthefanie_territory_chart.xlsx]Category_Breakdown!PivotTable9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Product Category – Annual View</a:t>
            </a:r>
          </a:p>
        </c:rich>
      </c:tx>
      <c:layout>
        <c:manualLayout>
          <c:xMode val="edge"/>
          <c:yMode val="edge"/>
          <c:x val="0.21839965825099175"/>
          <c:y val="2.40037753300008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71578709893968"/>
          <c:y val="0.17816597925259342"/>
          <c:w val="0.80103824926628475"/>
          <c:h val="0.788580676294386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Category_Breakdown!$B$1</c:f>
              <c:strCache>
                <c:ptCount val="1"/>
                <c:pt idx="0">
                  <c:v> Apparel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Category_Breakdown!$A$2:$A$6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Category_Breakdown!$B$2:$B$6</c:f>
              <c:numCache>
                <c:formatCode>\$#,##0.00</c:formatCode>
                <c:ptCount val="4"/>
                <c:pt idx="0">
                  <c:v>37030.89</c:v>
                </c:pt>
                <c:pt idx="1">
                  <c:v>66815.960000000006</c:v>
                </c:pt>
                <c:pt idx="2">
                  <c:v>67050.44</c:v>
                </c:pt>
                <c:pt idx="3">
                  <c:v>128662.22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4-49BD-B20D-441A6038FB45}"/>
            </c:ext>
          </c:extLst>
        </c:ser>
        <c:ser>
          <c:idx val="1"/>
          <c:order val="1"/>
          <c:tx>
            <c:strRef>
              <c:f>Category_Breakdown!$C$1</c:f>
              <c:strCache>
                <c:ptCount val="1"/>
                <c:pt idx="0">
                  <c:v> Art Supplies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Category_Breakdown!$A$2:$A$6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Category_Breakdown!$C$2:$C$6</c:f>
              <c:numCache>
                <c:formatCode>\$#,##0.00</c:formatCode>
                <c:ptCount val="4"/>
                <c:pt idx="0">
                  <c:v>30306.37</c:v>
                </c:pt>
                <c:pt idx="1">
                  <c:v>51754.45</c:v>
                </c:pt>
                <c:pt idx="2">
                  <c:v>51915.75</c:v>
                </c:pt>
                <c:pt idx="3">
                  <c:v>105935.84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24-49BD-B20D-441A6038FB45}"/>
            </c:ext>
          </c:extLst>
        </c:ser>
        <c:ser>
          <c:idx val="2"/>
          <c:order val="2"/>
          <c:tx>
            <c:strRef>
              <c:f>Category_Breakdown!$D$1</c:f>
              <c:strCache>
                <c:ptCount val="1"/>
                <c:pt idx="0">
                  <c:v> Books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Category_Breakdown!$A$2:$A$6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Category_Breakdown!$D$2:$D$6</c:f>
              <c:numCache>
                <c:formatCode>\$#,##0.00</c:formatCode>
                <c:ptCount val="4"/>
                <c:pt idx="0">
                  <c:v>15131</c:v>
                </c:pt>
                <c:pt idx="1">
                  <c:v>23353.71</c:v>
                </c:pt>
                <c:pt idx="2">
                  <c:v>23401.23</c:v>
                </c:pt>
                <c:pt idx="3">
                  <c:v>45521.48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24-49BD-B20D-441A6038FB45}"/>
            </c:ext>
          </c:extLst>
        </c:ser>
        <c:ser>
          <c:idx val="3"/>
          <c:order val="3"/>
          <c:tx>
            <c:strRef>
              <c:f>Category_Breakdown!$E$1</c:f>
              <c:strCache>
                <c:ptCount val="1"/>
                <c:pt idx="0">
                  <c:v> Stationery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Category_Breakdown!$A$2:$A$6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Category_Breakdown!$E$2:$E$6</c:f>
              <c:numCache>
                <c:formatCode>\$#,##0.00</c:formatCode>
                <c:ptCount val="4"/>
                <c:pt idx="0">
                  <c:v>13029.18</c:v>
                </c:pt>
                <c:pt idx="1">
                  <c:v>21489.88</c:v>
                </c:pt>
                <c:pt idx="2">
                  <c:v>21560.36</c:v>
                </c:pt>
                <c:pt idx="3">
                  <c:v>42403.199999999997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24-49BD-B20D-441A6038FB45}"/>
            </c:ext>
          </c:extLst>
        </c:ser>
        <c:ser>
          <c:idx val="4"/>
          <c:order val="4"/>
          <c:tx>
            <c:strRef>
              <c:f>Category_Breakdown!$F$1</c:f>
              <c:strCache>
                <c:ptCount val="1"/>
                <c:pt idx="0">
                  <c:v> Technology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Category_Breakdown!$A$2:$A$6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Category_Breakdown!$F$2:$F$6</c:f>
              <c:numCache>
                <c:formatCode>\$#,##0.00</c:formatCode>
                <c:ptCount val="4"/>
                <c:pt idx="0">
                  <c:v>685377.79</c:v>
                </c:pt>
                <c:pt idx="1">
                  <c:v>1041766.38</c:v>
                </c:pt>
                <c:pt idx="2">
                  <c:v>1043945.64</c:v>
                </c:pt>
                <c:pt idx="3">
                  <c:v>1783033.66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24-49BD-B20D-441A6038FB45}"/>
            </c:ext>
          </c:extLst>
        </c:ser>
        <c:ser>
          <c:idx val="5"/>
          <c:order val="5"/>
          <c:tx>
            <c:strRef>
              <c:f>Category_Breakdown!$G$1</c:f>
              <c:strCache>
                <c:ptCount val="1"/>
                <c:pt idx="0">
                  <c:v> Textbooks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Category_Breakdown!$A$2:$A$6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Category_Breakdown!$G$2:$G$6</c:f>
              <c:numCache>
                <c:formatCode>\$#,##0.00</c:formatCode>
                <c:ptCount val="4"/>
                <c:pt idx="0">
                  <c:v>230480.29</c:v>
                </c:pt>
                <c:pt idx="1">
                  <c:v>282710.34000000003</c:v>
                </c:pt>
                <c:pt idx="2">
                  <c:v>283594.39</c:v>
                </c:pt>
                <c:pt idx="3">
                  <c:v>316361.77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24-49BD-B20D-441A6038F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819488671"/>
        <c:axId val="1819489151"/>
      </c:barChart>
      <c:catAx>
        <c:axId val="1819488671"/>
        <c:scaling>
          <c:orientation val="maxMin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89151"/>
        <c:crossesAt val="1"/>
        <c:auto val="1"/>
        <c:lblAlgn val="ctr"/>
        <c:lblOffset val="100"/>
        <c:noMultiLvlLbl val="0"/>
      </c:catAx>
      <c:valAx>
        <c:axId val="1819489151"/>
        <c:scaling>
          <c:orientation val="minMax"/>
        </c:scaling>
        <c:delete val="0"/>
        <c:axPos val="t"/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8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Revenue Summary </a:t>
            </a:r>
          </a:p>
          <a:p>
            <a:pPr>
              <a:defRPr/>
            </a:pPr>
            <a:r>
              <a:rPr lang="en-US"/>
              <a:t>(2022–2025)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Annual_Revenue_SM!$A$1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Annual_Revenue_SM!$A$2:$A$5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1-4C19-8EDA-A9AF63BF8EE1}"/>
            </c:ext>
          </c:extLst>
        </c:ser>
        <c:ser>
          <c:idx val="2"/>
          <c:order val="2"/>
          <c:tx>
            <c:strRef>
              <c:f>Annual_Revenue_SM!$C$1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Annual_Revenue_SM!$C$2:$C$5</c:f>
              <c:numCache>
                <c:formatCode>\$#,##0.00</c:formatCode>
                <c:ptCount val="4"/>
                <c:pt idx="0">
                  <c:v>1011355.52</c:v>
                </c:pt>
                <c:pt idx="1">
                  <c:v>1487890.72</c:v>
                </c:pt>
                <c:pt idx="2">
                  <c:v>1491467.81</c:v>
                </c:pt>
                <c:pt idx="3">
                  <c:v>2421918.17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1-4C19-8EDA-A9AF63BF8EE1}"/>
            </c:ext>
          </c:extLst>
        </c:ser>
        <c:ser>
          <c:idx val="4"/>
          <c:order val="4"/>
          <c:tx>
            <c:strRef>
              <c:f>Annual_Revenue_SM!$E$1</c:f>
              <c:strCache>
                <c:ptCount val="1"/>
                <c:pt idx="0">
                  <c:v>Growth Per Year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Annual_Revenue_SM!$E$2:$E$5</c:f>
              <c:numCache>
                <c:formatCode>0.00%</c:formatCode>
                <c:ptCount val="4"/>
                <c:pt idx="0" formatCode="0%">
                  <c:v>0</c:v>
                </c:pt>
                <c:pt idx="1">
                  <c:v>0.47118465324636777</c:v>
                </c:pt>
                <c:pt idx="2" formatCode="0.0%">
                  <c:v>2.4041348950681564E-3</c:v>
                </c:pt>
                <c:pt idx="3" formatCode="0.0%">
                  <c:v>0.62384877082932133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1-4C19-8EDA-A9AF63BF8E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1835272191"/>
        <c:axId val="18352726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Annual_Revenue_SM!$B$1</c15:sqref>
                        </c15:formulaRef>
                      </c:ext>
                    </c:extLst>
                    <c:strCache>
                      <c:ptCount val="1"/>
                      <c:pt idx="0">
                        <c:v>Total Transactions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Annual_Revenue_SM!$B$2:$B$5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6904</c:v>
                      </c:pt>
                      <c:pt idx="1">
                        <c:v>10580</c:v>
                      </c:pt>
                      <c:pt idx="2">
                        <c:v>10613</c:v>
                      </c:pt>
                      <c:pt idx="3">
                        <c:v>18401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231-4C19-8EDA-A9AF63BF8EE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Annual_Revenue_SM!$D$1</c15:sqref>
                        </c15:formulaRef>
                      </c:ext>
                    </c:extLst>
                    <c:strCache>
                      <c:ptCount val="1"/>
                      <c:pt idx="0">
                        <c:v>Avg Monthly Rev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Annual_Revenue_SM!$D$2:$D$5</c15:sqref>
                        </c15:formulaRef>
                      </c:ext>
                    </c:extLst>
                    <c:numCache>
                      <c:formatCode>\$#,##0.00</c:formatCode>
                      <c:ptCount val="4"/>
                      <c:pt idx="0">
                        <c:v>84279.626666666663</c:v>
                      </c:pt>
                      <c:pt idx="1">
                        <c:v>123990.8933333333</c:v>
                      </c:pt>
                      <c:pt idx="2">
                        <c:v>124288.98416666671</c:v>
                      </c:pt>
                      <c:pt idx="3">
                        <c:v>201826.51416666669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231-4C19-8EDA-A9AF63BF8EE1}"/>
                  </c:ext>
                </c:extLst>
              </c15:ser>
            </c15:filteredBarSeries>
          </c:ext>
        </c:extLst>
      </c:barChart>
      <c:catAx>
        <c:axId val="183527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72671"/>
        <c:crosses val="autoZero"/>
        <c:auto val="1"/>
        <c:lblAlgn val="ctr"/>
        <c:lblOffset val="100"/>
        <c:noMultiLvlLbl val="0"/>
      </c:catAx>
      <c:valAx>
        <c:axId val="1835272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527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[Ramirez_Sthefanie_territory_chart.xlsx]Montly_Sales_RP_22!PivotTable3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912586407787278E-2"/>
          <c:y val="0.14311270125223613"/>
          <c:w val="0.84240745288391705"/>
          <c:h val="0.70340681475638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Montly_Sales_RP_22!$B$1</c:f>
              <c:strCache>
                <c:ptCount val="1"/>
                <c:pt idx="0">
                  <c:v>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Montly_Sales_RP_22!$A$2:$A$14</c:f>
              <c:strCache>
                <c:ptCount val="12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</c:strCache>
            </c:strRef>
          </c:cat>
          <c:val>
            <c:numRef>
              <c:f>Montly_Sales_RP_22!$B$2:$B$14</c:f>
              <c:numCache>
                <c:formatCode>General</c:formatCode>
                <c:ptCount val="12"/>
                <c:pt idx="0">
                  <c:v>3632.4</c:v>
                </c:pt>
                <c:pt idx="1">
                  <c:v>2199.75</c:v>
                </c:pt>
                <c:pt idx="2">
                  <c:v>3133.64</c:v>
                </c:pt>
                <c:pt idx="3">
                  <c:v>3189.07</c:v>
                </c:pt>
                <c:pt idx="4">
                  <c:v>3132.81</c:v>
                </c:pt>
                <c:pt idx="5">
                  <c:v>2927.67</c:v>
                </c:pt>
                <c:pt idx="6">
                  <c:v>2881.63</c:v>
                </c:pt>
                <c:pt idx="7">
                  <c:v>3582.97</c:v>
                </c:pt>
                <c:pt idx="8">
                  <c:v>2942.9</c:v>
                </c:pt>
                <c:pt idx="9">
                  <c:v>3229.48</c:v>
                </c:pt>
                <c:pt idx="10">
                  <c:v>2541.9699999999998</c:v>
                </c:pt>
                <c:pt idx="11">
                  <c:v>3636.6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9-41BD-8480-3DE9924FD1A5}"/>
            </c:ext>
          </c:extLst>
        </c:ser>
        <c:ser>
          <c:idx val="1"/>
          <c:order val="1"/>
          <c:tx>
            <c:strRef>
              <c:f>Montly_Sales_RP_22!$C$1</c:f>
              <c:strCache>
                <c:ptCount val="1"/>
                <c:pt idx="0">
                  <c:v> Art_Supplies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Montly_Sales_RP_22!$A$2:$A$14</c:f>
              <c:strCache>
                <c:ptCount val="12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</c:strCache>
            </c:strRef>
          </c:cat>
          <c:val>
            <c:numRef>
              <c:f>Montly_Sales_RP_22!$C$2:$C$14</c:f>
              <c:numCache>
                <c:formatCode>General</c:formatCode>
                <c:ptCount val="12"/>
                <c:pt idx="0">
                  <c:v>2283.52</c:v>
                </c:pt>
                <c:pt idx="1">
                  <c:v>3224.79</c:v>
                </c:pt>
                <c:pt idx="2">
                  <c:v>2619.12</c:v>
                </c:pt>
                <c:pt idx="3">
                  <c:v>1931.28</c:v>
                </c:pt>
                <c:pt idx="4">
                  <c:v>3007</c:v>
                </c:pt>
                <c:pt idx="5">
                  <c:v>1726.3</c:v>
                </c:pt>
                <c:pt idx="6">
                  <c:v>2879.83</c:v>
                </c:pt>
                <c:pt idx="7">
                  <c:v>2447.0100000000002</c:v>
                </c:pt>
                <c:pt idx="8">
                  <c:v>2788.04</c:v>
                </c:pt>
                <c:pt idx="9">
                  <c:v>2784.17</c:v>
                </c:pt>
                <c:pt idx="10">
                  <c:v>2190.59</c:v>
                </c:pt>
                <c:pt idx="11">
                  <c:v>2424.7199999999998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F9-41BD-8480-3DE9924FD1A5}"/>
            </c:ext>
          </c:extLst>
        </c:ser>
        <c:ser>
          <c:idx val="2"/>
          <c:order val="2"/>
          <c:tx>
            <c:strRef>
              <c:f>Montly_Sales_RP_22!$D$1</c:f>
              <c:strCache>
                <c:ptCount val="1"/>
                <c:pt idx="0">
                  <c:v> Books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Montly_Sales_RP_22!$A$2:$A$14</c:f>
              <c:strCache>
                <c:ptCount val="12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</c:strCache>
            </c:strRef>
          </c:cat>
          <c:val>
            <c:numRef>
              <c:f>Montly_Sales_RP_22!$D$2:$D$14</c:f>
              <c:numCache>
                <c:formatCode>General</c:formatCode>
                <c:ptCount val="12"/>
                <c:pt idx="0">
                  <c:v>959.78</c:v>
                </c:pt>
                <c:pt idx="1">
                  <c:v>1244.9100000000001</c:v>
                </c:pt>
                <c:pt idx="2">
                  <c:v>1201.73</c:v>
                </c:pt>
                <c:pt idx="3">
                  <c:v>1121.48</c:v>
                </c:pt>
                <c:pt idx="4">
                  <c:v>734.89</c:v>
                </c:pt>
                <c:pt idx="5">
                  <c:v>1230.96</c:v>
                </c:pt>
                <c:pt idx="6">
                  <c:v>1250.28</c:v>
                </c:pt>
                <c:pt idx="7">
                  <c:v>1111.02</c:v>
                </c:pt>
                <c:pt idx="8">
                  <c:v>1645.85</c:v>
                </c:pt>
                <c:pt idx="9">
                  <c:v>1708.09</c:v>
                </c:pt>
                <c:pt idx="10">
                  <c:v>1407.12</c:v>
                </c:pt>
                <c:pt idx="11">
                  <c:v>1514.89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F9-41BD-8480-3DE9924FD1A5}"/>
            </c:ext>
          </c:extLst>
        </c:ser>
        <c:ser>
          <c:idx val="3"/>
          <c:order val="3"/>
          <c:tx>
            <c:strRef>
              <c:f>Montly_Sales_RP_22!$E$1</c:f>
              <c:strCache>
                <c:ptCount val="1"/>
                <c:pt idx="0">
                  <c:v> Stationery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Montly_Sales_RP_22!$A$2:$A$14</c:f>
              <c:strCache>
                <c:ptCount val="12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</c:strCache>
            </c:strRef>
          </c:cat>
          <c:val>
            <c:numRef>
              <c:f>Montly_Sales_RP_22!$E$2:$E$14</c:f>
              <c:numCache>
                <c:formatCode>General</c:formatCode>
                <c:ptCount val="12"/>
                <c:pt idx="0">
                  <c:v>1229.6600000000001</c:v>
                </c:pt>
                <c:pt idx="1">
                  <c:v>1028.28</c:v>
                </c:pt>
                <c:pt idx="2">
                  <c:v>1029.43</c:v>
                </c:pt>
                <c:pt idx="3">
                  <c:v>1069.98</c:v>
                </c:pt>
                <c:pt idx="4">
                  <c:v>1101.3</c:v>
                </c:pt>
                <c:pt idx="5">
                  <c:v>1077.8900000000001</c:v>
                </c:pt>
                <c:pt idx="6">
                  <c:v>1076.22</c:v>
                </c:pt>
                <c:pt idx="7">
                  <c:v>1159.4100000000001</c:v>
                </c:pt>
                <c:pt idx="8">
                  <c:v>1087.8699999999999</c:v>
                </c:pt>
                <c:pt idx="9">
                  <c:v>1106.5</c:v>
                </c:pt>
                <c:pt idx="10">
                  <c:v>842.55</c:v>
                </c:pt>
                <c:pt idx="11">
                  <c:v>1220.0899999999999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F9-41BD-8480-3DE9924FD1A5}"/>
            </c:ext>
          </c:extLst>
        </c:ser>
        <c:ser>
          <c:idx val="4"/>
          <c:order val="4"/>
          <c:tx>
            <c:strRef>
              <c:f>Montly_Sales_RP_22!$F$1</c:f>
              <c:strCache>
                <c:ptCount val="1"/>
                <c:pt idx="0">
                  <c:v> Technology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Montly_Sales_RP_22!$A$2:$A$14</c:f>
              <c:strCache>
                <c:ptCount val="12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</c:strCache>
            </c:strRef>
          </c:cat>
          <c:val>
            <c:numRef>
              <c:f>Montly_Sales_RP_22!$F$2:$F$14</c:f>
              <c:numCache>
                <c:formatCode>General</c:formatCode>
                <c:ptCount val="12"/>
                <c:pt idx="0">
                  <c:v>51086.31</c:v>
                </c:pt>
                <c:pt idx="1">
                  <c:v>55437.16</c:v>
                </c:pt>
                <c:pt idx="2">
                  <c:v>59450.9</c:v>
                </c:pt>
                <c:pt idx="3">
                  <c:v>61067.94</c:v>
                </c:pt>
                <c:pt idx="4">
                  <c:v>63897.67</c:v>
                </c:pt>
                <c:pt idx="5">
                  <c:v>62870.8</c:v>
                </c:pt>
                <c:pt idx="6">
                  <c:v>65916.14</c:v>
                </c:pt>
                <c:pt idx="7">
                  <c:v>60144.88</c:v>
                </c:pt>
                <c:pt idx="8">
                  <c:v>56611.33</c:v>
                </c:pt>
                <c:pt idx="9">
                  <c:v>48459.92</c:v>
                </c:pt>
                <c:pt idx="10">
                  <c:v>48103.42</c:v>
                </c:pt>
                <c:pt idx="11">
                  <c:v>52331.32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F9-41BD-8480-3DE9924FD1A5}"/>
            </c:ext>
          </c:extLst>
        </c:ser>
        <c:ser>
          <c:idx val="5"/>
          <c:order val="5"/>
          <c:tx>
            <c:strRef>
              <c:f>Montly_Sales_RP_22!$G$1</c:f>
              <c:strCache>
                <c:ptCount val="1"/>
                <c:pt idx="0">
                  <c:v> Textbooks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Montly_Sales_RP_22!$A$2:$A$14</c:f>
              <c:strCache>
                <c:ptCount val="12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</c:strCache>
            </c:strRef>
          </c:cat>
          <c:val>
            <c:numRef>
              <c:f>Montly_Sales_RP_22!$G$2:$G$14</c:f>
              <c:numCache>
                <c:formatCode>General</c:formatCode>
                <c:ptCount val="12"/>
                <c:pt idx="0">
                  <c:v>18759.310000000001</c:v>
                </c:pt>
                <c:pt idx="1">
                  <c:v>17180.8</c:v>
                </c:pt>
                <c:pt idx="2">
                  <c:v>15081.54</c:v>
                </c:pt>
                <c:pt idx="3">
                  <c:v>20970.560000000001</c:v>
                </c:pt>
                <c:pt idx="4">
                  <c:v>23019.22</c:v>
                </c:pt>
                <c:pt idx="5">
                  <c:v>17014.080000000002</c:v>
                </c:pt>
                <c:pt idx="6">
                  <c:v>20044.39</c:v>
                </c:pt>
                <c:pt idx="7">
                  <c:v>18613.07</c:v>
                </c:pt>
                <c:pt idx="8">
                  <c:v>19130.099999999999</c:v>
                </c:pt>
                <c:pt idx="9">
                  <c:v>21418.799999999999</c:v>
                </c:pt>
                <c:pt idx="10">
                  <c:v>21834.41</c:v>
                </c:pt>
                <c:pt idx="11">
                  <c:v>17414.009999999998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F9-41BD-8480-3DE9924FD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011087"/>
        <c:axId val="1696012047"/>
      </c:barChart>
      <c:catAx>
        <c:axId val="169601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012047"/>
        <c:crosses val="autoZero"/>
        <c:auto val="1"/>
        <c:lblAlgn val="ctr"/>
        <c:lblOffset val="100"/>
        <c:noMultiLvlLbl val="0"/>
      </c:catAx>
      <c:valAx>
        <c:axId val="169601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01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[Ramirez_Sthefanie_territory_chart.xlsx]Montly_Sales_RP_23!PivotTable6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127445895610354E-2"/>
          <c:y val="0.12355212355212356"/>
          <c:w val="0.81541020321561597"/>
          <c:h val="0.71081932326026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Montly_Sales_RP_23!$B$1</c:f>
              <c:strCache>
                <c:ptCount val="1"/>
                <c:pt idx="0">
                  <c:v>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Montly_Sales_RP_23!$A$2:$A$14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Montly_Sales_RP_23!$B$2:$B$14</c:f>
              <c:numCache>
                <c:formatCode>General</c:formatCode>
                <c:ptCount val="12"/>
                <c:pt idx="0">
                  <c:v>5488.06</c:v>
                </c:pt>
                <c:pt idx="1">
                  <c:v>5924</c:v>
                </c:pt>
                <c:pt idx="2">
                  <c:v>5457.45</c:v>
                </c:pt>
                <c:pt idx="3">
                  <c:v>6244.63</c:v>
                </c:pt>
                <c:pt idx="4">
                  <c:v>5369.74</c:v>
                </c:pt>
                <c:pt idx="5">
                  <c:v>5570.79</c:v>
                </c:pt>
                <c:pt idx="6">
                  <c:v>6184.36</c:v>
                </c:pt>
                <c:pt idx="7">
                  <c:v>5650.73</c:v>
                </c:pt>
                <c:pt idx="8">
                  <c:v>4982.97</c:v>
                </c:pt>
                <c:pt idx="9">
                  <c:v>4774.92</c:v>
                </c:pt>
                <c:pt idx="10">
                  <c:v>5208.09</c:v>
                </c:pt>
                <c:pt idx="11">
                  <c:v>5960.22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3-4A7D-BEAB-B049324E732C}"/>
            </c:ext>
          </c:extLst>
        </c:ser>
        <c:ser>
          <c:idx val="1"/>
          <c:order val="1"/>
          <c:tx>
            <c:strRef>
              <c:f>Montly_Sales_RP_23!$C$1</c:f>
              <c:strCache>
                <c:ptCount val="1"/>
                <c:pt idx="0">
                  <c:v> Art_Supplies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Montly_Sales_RP_23!$A$2:$A$14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Montly_Sales_RP_23!$C$2:$C$14</c:f>
              <c:numCache>
                <c:formatCode>General</c:formatCode>
                <c:ptCount val="12"/>
                <c:pt idx="0">
                  <c:v>3347.87</c:v>
                </c:pt>
                <c:pt idx="1">
                  <c:v>4884.8500000000004</c:v>
                </c:pt>
                <c:pt idx="2">
                  <c:v>3936.12</c:v>
                </c:pt>
                <c:pt idx="3">
                  <c:v>5120.7700000000004</c:v>
                </c:pt>
                <c:pt idx="4">
                  <c:v>4624.12</c:v>
                </c:pt>
                <c:pt idx="5">
                  <c:v>3907.66</c:v>
                </c:pt>
                <c:pt idx="6">
                  <c:v>5720.6</c:v>
                </c:pt>
                <c:pt idx="7">
                  <c:v>4775.3999999999996</c:v>
                </c:pt>
                <c:pt idx="8">
                  <c:v>3702.86</c:v>
                </c:pt>
                <c:pt idx="9">
                  <c:v>3819.51</c:v>
                </c:pt>
                <c:pt idx="10">
                  <c:v>3735</c:v>
                </c:pt>
                <c:pt idx="11">
                  <c:v>4179.6899999999996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3-4A7D-BEAB-B049324E732C}"/>
            </c:ext>
          </c:extLst>
        </c:ser>
        <c:ser>
          <c:idx val="2"/>
          <c:order val="2"/>
          <c:tx>
            <c:strRef>
              <c:f>Montly_Sales_RP_23!$D$1</c:f>
              <c:strCache>
                <c:ptCount val="1"/>
                <c:pt idx="0">
                  <c:v> Books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Montly_Sales_RP_23!$A$2:$A$14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Montly_Sales_RP_23!$D$2:$D$14</c:f>
              <c:numCache>
                <c:formatCode>General</c:formatCode>
                <c:ptCount val="12"/>
                <c:pt idx="0">
                  <c:v>2102.9</c:v>
                </c:pt>
                <c:pt idx="1">
                  <c:v>1325.86</c:v>
                </c:pt>
                <c:pt idx="2">
                  <c:v>1915.66</c:v>
                </c:pt>
                <c:pt idx="3">
                  <c:v>2503.3200000000002</c:v>
                </c:pt>
                <c:pt idx="4">
                  <c:v>2034.94</c:v>
                </c:pt>
                <c:pt idx="5">
                  <c:v>2107.58</c:v>
                </c:pt>
                <c:pt idx="6">
                  <c:v>1641.01</c:v>
                </c:pt>
                <c:pt idx="7">
                  <c:v>2003.58</c:v>
                </c:pt>
                <c:pt idx="8">
                  <c:v>1869.67</c:v>
                </c:pt>
                <c:pt idx="9">
                  <c:v>1726.41</c:v>
                </c:pt>
                <c:pt idx="10">
                  <c:v>2262.5700000000002</c:v>
                </c:pt>
                <c:pt idx="11">
                  <c:v>1860.21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A3-4A7D-BEAB-B049324E732C}"/>
            </c:ext>
          </c:extLst>
        </c:ser>
        <c:ser>
          <c:idx val="3"/>
          <c:order val="3"/>
          <c:tx>
            <c:strRef>
              <c:f>Montly_Sales_RP_23!$E$1</c:f>
              <c:strCache>
                <c:ptCount val="1"/>
                <c:pt idx="0">
                  <c:v> Stationery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Montly_Sales_RP_23!$A$2:$A$14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Montly_Sales_RP_23!$E$2:$E$14</c:f>
              <c:numCache>
                <c:formatCode>General</c:formatCode>
                <c:ptCount val="12"/>
                <c:pt idx="0">
                  <c:v>1840.79</c:v>
                </c:pt>
                <c:pt idx="1">
                  <c:v>1953.7</c:v>
                </c:pt>
                <c:pt idx="2">
                  <c:v>1852.99</c:v>
                </c:pt>
                <c:pt idx="3">
                  <c:v>2176.7399999999998</c:v>
                </c:pt>
                <c:pt idx="4">
                  <c:v>1628.7</c:v>
                </c:pt>
                <c:pt idx="5">
                  <c:v>1598.18</c:v>
                </c:pt>
                <c:pt idx="6">
                  <c:v>1642.36</c:v>
                </c:pt>
                <c:pt idx="7">
                  <c:v>1875.11</c:v>
                </c:pt>
                <c:pt idx="8">
                  <c:v>1510.31</c:v>
                </c:pt>
                <c:pt idx="9">
                  <c:v>1710.44</c:v>
                </c:pt>
                <c:pt idx="10">
                  <c:v>1782.42</c:v>
                </c:pt>
                <c:pt idx="11">
                  <c:v>1918.14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A3-4A7D-BEAB-B049324E732C}"/>
            </c:ext>
          </c:extLst>
        </c:ser>
        <c:ser>
          <c:idx val="4"/>
          <c:order val="4"/>
          <c:tx>
            <c:strRef>
              <c:f>Montly_Sales_RP_23!$F$1</c:f>
              <c:strCache>
                <c:ptCount val="1"/>
                <c:pt idx="0">
                  <c:v> Technology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Montly_Sales_RP_23!$A$2:$A$14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Montly_Sales_RP_23!$F$2:$F$14</c:f>
              <c:numCache>
                <c:formatCode>General</c:formatCode>
                <c:ptCount val="12"/>
                <c:pt idx="0">
                  <c:v>96270.720000000001</c:v>
                </c:pt>
                <c:pt idx="1">
                  <c:v>85240.05</c:v>
                </c:pt>
                <c:pt idx="2">
                  <c:v>80893.27</c:v>
                </c:pt>
                <c:pt idx="3">
                  <c:v>95946.71</c:v>
                </c:pt>
                <c:pt idx="4">
                  <c:v>92938.97</c:v>
                </c:pt>
                <c:pt idx="5">
                  <c:v>75351.12</c:v>
                </c:pt>
                <c:pt idx="6">
                  <c:v>94947.86</c:v>
                </c:pt>
                <c:pt idx="7">
                  <c:v>89396.94</c:v>
                </c:pt>
                <c:pt idx="8">
                  <c:v>95429.33</c:v>
                </c:pt>
                <c:pt idx="9">
                  <c:v>83385.919999999998</c:v>
                </c:pt>
                <c:pt idx="10">
                  <c:v>81940.25</c:v>
                </c:pt>
                <c:pt idx="11">
                  <c:v>70025.240000000005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A3-4A7D-BEAB-B049324E732C}"/>
            </c:ext>
          </c:extLst>
        </c:ser>
        <c:ser>
          <c:idx val="5"/>
          <c:order val="5"/>
          <c:tx>
            <c:strRef>
              <c:f>Montly_Sales_RP_23!$G$1</c:f>
              <c:strCache>
                <c:ptCount val="1"/>
                <c:pt idx="0">
                  <c:v> Textbooks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Montly_Sales_RP_23!$A$2:$A$14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Montly_Sales_RP_23!$G$2:$G$14</c:f>
              <c:numCache>
                <c:formatCode>General</c:formatCode>
                <c:ptCount val="12"/>
                <c:pt idx="0">
                  <c:v>18047.349999999999</c:v>
                </c:pt>
                <c:pt idx="1">
                  <c:v>18836.990000000002</c:v>
                </c:pt>
                <c:pt idx="2">
                  <c:v>19280.61</c:v>
                </c:pt>
                <c:pt idx="3">
                  <c:v>19843.16</c:v>
                </c:pt>
                <c:pt idx="4">
                  <c:v>19604.830000000002</c:v>
                </c:pt>
                <c:pt idx="5">
                  <c:v>22210.37</c:v>
                </c:pt>
                <c:pt idx="6">
                  <c:v>26934.65</c:v>
                </c:pt>
                <c:pt idx="7">
                  <c:v>29234.48</c:v>
                </c:pt>
                <c:pt idx="8">
                  <c:v>29527.46</c:v>
                </c:pt>
                <c:pt idx="9">
                  <c:v>23496.1</c:v>
                </c:pt>
                <c:pt idx="10">
                  <c:v>27199.19</c:v>
                </c:pt>
                <c:pt idx="11">
                  <c:v>28495.15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A3-4A7D-BEAB-B049324E7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820495"/>
        <c:axId val="1196821455"/>
      </c:barChart>
      <c:catAx>
        <c:axId val="119682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21455"/>
        <c:crosses val="autoZero"/>
        <c:auto val="1"/>
        <c:lblAlgn val="ctr"/>
        <c:lblOffset val="100"/>
        <c:noMultiLvlLbl val="0"/>
      </c:catAx>
      <c:valAx>
        <c:axId val="119682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2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[Ramirez_Sthefanie_territory_chart.xlsx]Montly_Sales_RP_24!PivotTable7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892627057981391E-2"/>
          <c:y val="0.14674906143061231"/>
          <c:w val="0.81317275113338106"/>
          <c:h val="0.672247582976178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Montly_Sales_RP_24!$B$1</c:f>
              <c:strCache>
                <c:ptCount val="1"/>
                <c:pt idx="0">
                  <c:v>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Montly_Sales_RP_24!$A$2:$A$14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Montly_Sales_RP_24!$B$2:$B$14</c:f>
              <c:numCache>
                <c:formatCode>General</c:formatCode>
                <c:ptCount val="12"/>
                <c:pt idx="0">
                  <c:v>6636.16</c:v>
                </c:pt>
                <c:pt idx="1">
                  <c:v>4979.7700000000004</c:v>
                </c:pt>
                <c:pt idx="2">
                  <c:v>6553.73</c:v>
                </c:pt>
                <c:pt idx="3">
                  <c:v>5060.6400000000003</c:v>
                </c:pt>
                <c:pt idx="4">
                  <c:v>5626.71</c:v>
                </c:pt>
                <c:pt idx="5">
                  <c:v>6128.44</c:v>
                </c:pt>
                <c:pt idx="6">
                  <c:v>5650.73</c:v>
                </c:pt>
                <c:pt idx="7">
                  <c:v>5089.51</c:v>
                </c:pt>
                <c:pt idx="8">
                  <c:v>4668.38</c:v>
                </c:pt>
                <c:pt idx="9">
                  <c:v>5434.43</c:v>
                </c:pt>
                <c:pt idx="10">
                  <c:v>5733.88</c:v>
                </c:pt>
                <c:pt idx="11">
                  <c:v>5488.06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1-4D51-A97D-5DA5A9A1768A}"/>
            </c:ext>
          </c:extLst>
        </c:ser>
        <c:ser>
          <c:idx val="1"/>
          <c:order val="1"/>
          <c:tx>
            <c:strRef>
              <c:f>Montly_Sales_RP_24!$C$1</c:f>
              <c:strCache>
                <c:ptCount val="1"/>
                <c:pt idx="0">
                  <c:v> Books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Montly_Sales_RP_24!$A$2:$A$14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Montly_Sales_RP_24!$C$2:$C$14</c:f>
              <c:numCache>
                <c:formatCode>General</c:formatCode>
                <c:ptCount val="12"/>
                <c:pt idx="0">
                  <c:v>1487.43</c:v>
                </c:pt>
                <c:pt idx="1">
                  <c:v>1801.61</c:v>
                </c:pt>
                <c:pt idx="2">
                  <c:v>2503.3200000000002</c:v>
                </c:pt>
                <c:pt idx="3">
                  <c:v>2034.94</c:v>
                </c:pt>
                <c:pt idx="4">
                  <c:v>2176.4</c:v>
                </c:pt>
                <c:pt idx="5">
                  <c:v>1572.19</c:v>
                </c:pt>
                <c:pt idx="6">
                  <c:v>2003.58</c:v>
                </c:pt>
                <c:pt idx="7">
                  <c:v>1890.03</c:v>
                </c:pt>
                <c:pt idx="8">
                  <c:v>1706.05</c:v>
                </c:pt>
                <c:pt idx="9">
                  <c:v>2274.69</c:v>
                </c:pt>
                <c:pt idx="10">
                  <c:v>1848.09</c:v>
                </c:pt>
                <c:pt idx="11">
                  <c:v>2102.9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D1-4D51-A97D-5DA5A9A1768A}"/>
            </c:ext>
          </c:extLst>
        </c:ser>
        <c:ser>
          <c:idx val="2"/>
          <c:order val="2"/>
          <c:tx>
            <c:strRef>
              <c:f>Montly_Sales_RP_24!$D$1</c:f>
              <c:strCache>
                <c:ptCount val="1"/>
                <c:pt idx="0">
                  <c:v> Art_Supplies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Montly_Sales_RP_24!$A$2:$A$14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Montly_Sales_RP_24!$D$2:$D$14</c:f>
              <c:numCache>
                <c:formatCode>General</c:formatCode>
                <c:ptCount val="12"/>
                <c:pt idx="0">
                  <c:v>5427.52</c:v>
                </c:pt>
                <c:pt idx="1">
                  <c:v>3554.75</c:v>
                </c:pt>
                <c:pt idx="2">
                  <c:v>5314.94</c:v>
                </c:pt>
                <c:pt idx="3">
                  <c:v>4429.95</c:v>
                </c:pt>
                <c:pt idx="4">
                  <c:v>4105.8599999999997</c:v>
                </c:pt>
                <c:pt idx="5">
                  <c:v>5522.4</c:v>
                </c:pt>
                <c:pt idx="6">
                  <c:v>4775.3999999999996</c:v>
                </c:pt>
                <c:pt idx="7">
                  <c:v>3805.57</c:v>
                </c:pt>
                <c:pt idx="8">
                  <c:v>3716.8</c:v>
                </c:pt>
                <c:pt idx="9">
                  <c:v>3852.46</c:v>
                </c:pt>
                <c:pt idx="10">
                  <c:v>4062.23</c:v>
                </c:pt>
                <c:pt idx="11">
                  <c:v>3347.87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D1-4D51-A97D-5DA5A9A1768A}"/>
            </c:ext>
          </c:extLst>
        </c:ser>
        <c:ser>
          <c:idx val="3"/>
          <c:order val="3"/>
          <c:tx>
            <c:strRef>
              <c:f>Montly_Sales_RP_24!$E$1</c:f>
              <c:strCache>
                <c:ptCount val="1"/>
                <c:pt idx="0">
                  <c:v> Stationery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Montly_Sales_RP_24!$A$2:$A$14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Montly_Sales_RP_24!$E$2:$E$14</c:f>
              <c:numCache>
                <c:formatCode>General</c:formatCode>
                <c:ptCount val="12"/>
                <c:pt idx="0">
                  <c:v>2144.59</c:v>
                </c:pt>
                <c:pt idx="1">
                  <c:v>1732.58</c:v>
                </c:pt>
                <c:pt idx="2">
                  <c:v>2265.29</c:v>
                </c:pt>
                <c:pt idx="3">
                  <c:v>1540.15</c:v>
                </c:pt>
                <c:pt idx="4">
                  <c:v>1640.71</c:v>
                </c:pt>
                <c:pt idx="5">
                  <c:v>1599.83</c:v>
                </c:pt>
                <c:pt idx="6">
                  <c:v>1875.11</c:v>
                </c:pt>
                <c:pt idx="7">
                  <c:v>1560.65</c:v>
                </c:pt>
                <c:pt idx="8">
                  <c:v>1660.1</c:v>
                </c:pt>
                <c:pt idx="9">
                  <c:v>1813.35</c:v>
                </c:pt>
                <c:pt idx="10">
                  <c:v>1887.21</c:v>
                </c:pt>
                <c:pt idx="11">
                  <c:v>1840.79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D1-4D51-A97D-5DA5A9A1768A}"/>
            </c:ext>
          </c:extLst>
        </c:ser>
        <c:ser>
          <c:idx val="4"/>
          <c:order val="4"/>
          <c:tx>
            <c:strRef>
              <c:f>Montly_Sales_RP_24!$F$1</c:f>
              <c:strCache>
                <c:ptCount val="1"/>
                <c:pt idx="0">
                  <c:v> Technology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Montly_Sales_RP_24!$A$2:$A$14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Montly_Sales_RP_24!$F$2:$F$14</c:f>
              <c:numCache>
                <c:formatCode>General</c:formatCode>
                <c:ptCount val="12"/>
                <c:pt idx="0">
                  <c:v>94414.21</c:v>
                </c:pt>
                <c:pt idx="1">
                  <c:v>73898.37</c:v>
                </c:pt>
                <c:pt idx="2">
                  <c:v>96788</c:v>
                </c:pt>
                <c:pt idx="3">
                  <c:v>92097.68</c:v>
                </c:pt>
                <c:pt idx="4">
                  <c:v>80014.16</c:v>
                </c:pt>
                <c:pt idx="5">
                  <c:v>90284.82</c:v>
                </c:pt>
                <c:pt idx="6">
                  <c:v>89396.94</c:v>
                </c:pt>
                <c:pt idx="7">
                  <c:v>97266.3</c:v>
                </c:pt>
                <c:pt idx="8">
                  <c:v>81548.95</c:v>
                </c:pt>
                <c:pt idx="9">
                  <c:v>82761.61</c:v>
                </c:pt>
                <c:pt idx="10">
                  <c:v>69203.88</c:v>
                </c:pt>
                <c:pt idx="11">
                  <c:v>96270.720000000001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D1-4D51-A97D-5DA5A9A1768A}"/>
            </c:ext>
          </c:extLst>
        </c:ser>
        <c:ser>
          <c:idx val="5"/>
          <c:order val="5"/>
          <c:tx>
            <c:strRef>
              <c:f>Montly_Sales_RP_24!$G$1</c:f>
              <c:strCache>
                <c:ptCount val="1"/>
                <c:pt idx="0">
                  <c:v> Textbooks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Montly_Sales_RP_24!$A$2:$A$14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Montly_Sales_RP_24!$G$2:$G$14</c:f>
              <c:numCache>
                <c:formatCode>General</c:formatCode>
                <c:ptCount val="12"/>
                <c:pt idx="0">
                  <c:v>20397.919999999998</c:v>
                </c:pt>
                <c:pt idx="1">
                  <c:v>18603.73</c:v>
                </c:pt>
                <c:pt idx="2">
                  <c:v>20382.919999999998</c:v>
                </c:pt>
                <c:pt idx="3">
                  <c:v>19065.07</c:v>
                </c:pt>
                <c:pt idx="4">
                  <c:v>22873.49</c:v>
                </c:pt>
                <c:pt idx="5">
                  <c:v>26271.53</c:v>
                </c:pt>
                <c:pt idx="6">
                  <c:v>29234.48</c:v>
                </c:pt>
                <c:pt idx="7">
                  <c:v>29773.16</c:v>
                </c:pt>
                <c:pt idx="8">
                  <c:v>23250.400000000001</c:v>
                </c:pt>
                <c:pt idx="9">
                  <c:v>28067.7</c:v>
                </c:pt>
                <c:pt idx="10">
                  <c:v>27626.639999999999</c:v>
                </c:pt>
                <c:pt idx="11">
                  <c:v>18047.349999999999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D1-4D51-A97D-5DA5A9A17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484831"/>
        <c:axId val="1819484351"/>
      </c:barChart>
      <c:catAx>
        <c:axId val="181948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84351"/>
        <c:crosses val="autoZero"/>
        <c:auto val="1"/>
        <c:lblAlgn val="ctr"/>
        <c:lblOffset val="100"/>
        <c:noMultiLvlLbl val="0"/>
      </c:catAx>
      <c:valAx>
        <c:axId val="18194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8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[Ramirez_Sthefanie_territory_chart.xlsx]Montly_Sales_RP_25!PivotTable8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59004870584073E-2"/>
          <c:y val="0.1303370786516854"/>
          <c:w val="0.82116608520381651"/>
          <c:h val="0.69034698752543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Montly_Sales_RP_25!$B$1</c:f>
              <c:strCache>
                <c:ptCount val="1"/>
                <c:pt idx="0">
                  <c:v>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Montly_Sales_RP_25!$A$2:$A$14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Montly_Sales_RP_25!$B$2:$B$14</c:f>
              <c:numCache>
                <c:formatCode>General</c:formatCode>
                <c:ptCount val="12"/>
                <c:pt idx="0">
                  <c:v>11060.32</c:v>
                </c:pt>
                <c:pt idx="1">
                  <c:v>9009.19</c:v>
                </c:pt>
                <c:pt idx="2">
                  <c:v>9456.3700000000008</c:v>
                </c:pt>
                <c:pt idx="3">
                  <c:v>12929.77</c:v>
                </c:pt>
                <c:pt idx="4">
                  <c:v>14308.74</c:v>
                </c:pt>
                <c:pt idx="5">
                  <c:v>14545.92</c:v>
                </c:pt>
                <c:pt idx="6">
                  <c:v>9013.64</c:v>
                </c:pt>
                <c:pt idx="7">
                  <c:v>8361.7999999999993</c:v>
                </c:pt>
                <c:pt idx="8">
                  <c:v>8783.94</c:v>
                </c:pt>
                <c:pt idx="9">
                  <c:v>13414.3</c:v>
                </c:pt>
                <c:pt idx="10">
                  <c:v>8109.53</c:v>
                </c:pt>
                <c:pt idx="11">
                  <c:v>9668.7000000000007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0-4EA3-8FEA-EC5E6EC3B2EF}"/>
            </c:ext>
          </c:extLst>
        </c:ser>
        <c:ser>
          <c:idx val="1"/>
          <c:order val="1"/>
          <c:tx>
            <c:strRef>
              <c:f>Montly_Sales_RP_25!$C$1</c:f>
              <c:strCache>
                <c:ptCount val="1"/>
                <c:pt idx="0">
                  <c:v> Art_Supplies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Montly_Sales_RP_25!$A$2:$A$14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Montly_Sales_RP_25!$C$2:$C$14</c:f>
              <c:numCache>
                <c:formatCode>General</c:formatCode>
                <c:ptCount val="12"/>
                <c:pt idx="0">
                  <c:v>9497.33</c:v>
                </c:pt>
                <c:pt idx="1">
                  <c:v>7018.05</c:v>
                </c:pt>
                <c:pt idx="2">
                  <c:v>8656.48</c:v>
                </c:pt>
                <c:pt idx="3">
                  <c:v>11310.65</c:v>
                </c:pt>
                <c:pt idx="4">
                  <c:v>11924.65</c:v>
                </c:pt>
                <c:pt idx="5">
                  <c:v>10772.21</c:v>
                </c:pt>
                <c:pt idx="6">
                  <c:v>6169.08</c:v>
                </c:pt>
                <c:pt idx="7">
                  <c:v>7645.61</c:v>
                </c:pt>
                <c:pt idx="8">
                  <c:v>7283.78</c:v>
                </c:pt>
                <c:pt idx="9">
                  <c:v>10562.4</c:v>
                </c:pt>
                <c:pt idx="10">
                  <c:v>7482.93</c:v>
                </c:pt>
                <c:pt idx="11">
                  <c:v>7612.67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0-4EA3-8FEA-EC5E6EC3B2EF}"/>
            </c:ext>
          </c:extLst>
        </c:ser>
        <c:ser>
          <c:idx val="2"/>
          <c:order val="2"/>
          <c:tx>
            <c:strRef>
              <c:f>Montly_Sales_RP_25!$D$1</c:f>
              <c:strCache>
                <c:ptCount val="1"/>
                <c:pt idx="0">
                  <c:v> Books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Montly_Sales_RP_25!$A$2:$A$14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Montly_Sales_RP_25!$D$2:$D$14</c:f>
              <c:numCache>
                <c:formatCode>General</c:formatCode>
                <c:ptCount val="12"/>
                <c:pt idx="0">
                  <c:v>3653.6</c:v>
                </c:pt>
                <c:pt idx="1">
                  <c:v>2918.32</c:v>
                </c:pt>
                <c:pt idx="2">
                  <c:v>3839.4</c:v>
                </c:pt>
                <c:pt idx="3">
                  <c:v>4480.54</c:v>
                </c:pt>
                <c:pt idx="4">
                  <c:v>5341.24</c:v>
                </c:pt>
                <c:pt idx="5">
                  <c:v>4565.54</c:v>
                </c:pt>
                <c:pt idx="6">
                  <c:v>3243.61</c:v>
                </c:pt>
                <c:pt idx="7">
                  <c:v>2998.39</c:v>
                </c:pt>
                <c:pt idx="8">
                  <c:v>3120.1</c:v>
                </c:pt>
                <c:pt idx="9">
                  <c:v>4909.59</c:v>
                </c:pt>
                <c:pt idx="10">
                  <c:v>3130.52</c:v>
                </c:pt>
                <c:pt idx="11">
                  <c:v>3320.63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0-4EA3-8FEA-EC5E6EC3B2EF}"/>
            </c:ext>
          </c:extLst>
        </c:ser>
        <c:ser>
          <c:idx val="3"/>
          <c:order val="3"/>
          <c:tx>
            <c:strRef>
              <c:f>Montly_Sales_RP_25!$E$1</c:f>
              <c:strCache>
                <c:ptCount val="1"/>
                <c:pt idx="0">
                  <c:v> Stationery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Montly_Sales_RP_25!$A$2:$A$14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Montly_Sales_RP_25!$E$2:$E$14</c:f>
              <c:numCache>
                <c:formatCode>General</c:formatCode>
                <c:ptCount val="12"/>
                <c:pt idx="0">
                  <c:v>3888.98</c:v>
                </c:pt>
                <c:pt idx="1">
                  <c:v>3067.68</c:v>
                </c:pt>
                <c:pt idx="2">
                  <c:v>3185.88</c:v>
                </c:pt>
                <c:pt idx="3">
                  <c:v>4856.1899999999996</c:v>
                </c:pt>
                <c:pt idx="4">
                  <c:v>4509.87</c:v>
                </c:pt>
                <c:pt idx="5">
                  <c:v>4538.95</c:v>
                </c:pt>
                <c:pt idx="6">
                  <c:v>2958.09</c:v>
                </c:pt>
                <c:pt idx="7">
                  <c:v>2709.34</c:v>
                </c:pt>
                <c:pt idx="8">
                  <c:v>2523.5700000000002</c:v>
                </c:pt>
                <c:pt idx="9">
                  <c:v>4294.84</c:v>
                </c:pt>
                <c:pt idx="10">
                  <c:v>2916.37</c:v>
                </c:pt>
                <c:pt idx="11">
                  <c:v>2953.44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50-4EA3-8FEA-EC5E6EC3B2EF}"/>
            </c:ext>
          </c:extLst>
        </c:ser>
        <c:ser>
          <c:idx val="4"/>
          <c:order val="4"/>
          <c:tx>
            <c:strRef>
              <c:f>Montly_Sales_RP_25!$F$1</c:f>
              <c:strCache>
                <c:ptCount val="1"/>
                <c:pt idx="0">
                  <c:v> Technology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Montly_Sales_RP_25!$A$2:$A$14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Montly_Sales_RP_25!$F$2:$F$14</c:f>
              <c:numCache>
                <c:formatCode>General</c:formatCode>
                <c:ptCount val="12"/>
                <c:pt idx="0">
                  <c:v>138621.67000000001</c:v>
                </c:pt>
                <c:pt idx="1">
                  <c:v>131269.65</c:v>
                </c:pt>
                <c:pt idx="2">
                  <c:v>136640.48000000001</c:v>
                </c:pt>
                <c:pt idx="3">
                  <c:v>102381.4</c:v>
                </c:pt>
                <c:pt idx="4">
                  <c:v>118406.29</c:v>
                </c:pt>
                <c:pt idx="5">
                  <c:v>99140.64</c:v>
                </c:pt>
                <c:pt idx="6">
                  <c:v>156807.07999999999</c:v>
                </c:pt>
                <c:pt idx="7">
                  <c:v>161517.13</c:v>
                </c:pt>
                <c:pt idx="8">
                  <c:v>150733.42000000001</c:v>
                </c:pt>
                <c:pt idx="9">
                  <c:v>257001.19</c:v>
                </c:pt>
                <c:pt idx="10">
                  <c:v>175539.20000000001</c:v>
                </c:pt>
                <c:pt idx="11">
                  <c:v>154975.51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50-4EA3-8FEA-EC5E6EC3B2EF}"/>
            </c:ext>
          </c:extLst>
        </c:ser>
        <c:ser>
          <c:idx val="5"/>
          <c:order val="5"/>
          <c:tx>
            <c:strRef>
              <c:f>Montly_Sales_RP_25!$G$1</c:f>
              <c:strCache>
                <c:ptCount val="1"/>
                <c:pt idx="0">
                  <c:v> Textbooks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Montly_Sales_RP_25!$A$2:$A$14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Montly_Sales_RP_25!$G$2:$G$14</c:f>
              <c:numCache>
                <c:formatCode>General</c:formatCode>
                <c:ptCount val="12"/>
                <c:pt idx="0">
                  <c:v>14284.15</c:v>
                </c:pt>
                <c:pt idx="1">
                  <c:v>12443.31</c:v>
                </c:pt>
                <c:pt idx="2">
                  <c:v>21365.7</c:v>
                </c:pt>
                <c:pt idx="3">
                  <c:v>32895.31</c:v>
                </c:pt>
                <c:pt idx="4">
                  <c:v>31827.87</c:v>
                </c:pt>
                <c:pt idx="5">
                  <c:v>33683.379999999997</c:v>
                </c:pt>
                <c:pt idx="6">
                  <c:v>26449.08</c:v>
                </c:pt>
                <c:pt idx="7">
                  <c:v>26359.360000000001</c:v>
                </c:pt>
                <c:pt idx="8">
                  <c:v>23670.13</c:v>
                </c:pt>
                <c:pt idx="9">
                  <c:v>40580.5</c:v>
                </c:pt>
                <c:pt idx="10">
                  <c:v>23062.18</c:v>
                </c:pt>
                <c:pt idx="11">
                  <c:v>29740.799999999999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50-4EA3-8FEA-EC5E6EC3B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503567"/>
        <c:axId val="2134501167"/>
      </c:barChart>
      <c:catAx>
        <c:axId val="213450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01167"/>
        <c:crosses val="autoZero"/>
        <c:auto val="1"/>
        <c:lblAlgn val="ctr"/>
        <c:lblOffset val="100"/>
        <c:noMultiLvlLbl val="0"/>
      </c:catAx>
      <c:valAx>
        <c:axId val="213450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0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</xdr:row>
      <xdr:rowOff>171450</xdr:rowOff>
    </xdr:from>
    <xdr:to>
      <xdr:col>9</xdr:col>
      <xdr:colOff>603250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38DF1-ECCE-E3B9-57F6-A238FAE30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292099</xdr:colOff>
      <xdr:row>0</xdr:row>
      <xdr:rowOff>49213</xdr:rowOff>
    </xdr:from>
    <xdr:to>
      <xdr:col>8</xdr:col>
      <xdr:colOff>1119188</xdr:colOff>
      <xdr:row>8</xdr:row>
      <xdr:rowOff>15874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B9021C-8A24-2C23-5ADD-3B19AE40F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44450</xdr:rowOff>
    </xdr:from>
    <xdr:to>
      <xdr:col>9</xdr:col>
      <xdr:colOff>292100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DA414F-AFF3-3C40-C33D-E2781B4B8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0.31321</cdr:x>
      <cdr:y>0.01431</cdr:y>
    </cdr:from>
    <cdr:to>
      <cdr:x>0.58651</cdr:x>
      <cdr:y>0.13454</cdr:y>
    </cdr:to>
    <cdr:pic>
      <cdr:nvPicPr>
        <cdr:cNvPr id="5" name="chart">
          <a:extLst xmlns:a="http://schemas.openxmlformats.org/drawingml/2006/main">
            <a:ext uri="{FF2B5EF4-FFF2-40B4-BE49-F238E27FC236}">
              <a16:creationId xmlns:a16="http://schemas.microsoft.com/office/drawing/2014/main" id="{00242B10-BAC4-7A8B-BAFC-97E29B33F1F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997200" y="50800"/>
          <a:ext cx="2615411" cy="426757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95250</xdr:rowOff>
    </xdr:from>
    <xdr:to>
      <xdr:col>9</xdr:col>
      <xdr:colOff>82550</xdr:colOff>
      <xdr:row>32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0F1BE-30D9-38A5-A896-DA58EE27F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0.31886</cdr:x>
      <cdr:y>0.00965</cdr:y>
    </cdr:from>
    <cdr:to>
      <cdr:x>0.62715</cdr:x>
      <cdr:y>0.13939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9ABA934-46F4-0921-C1A0-B7D2C02581C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705100" y="31750"/>
          <a:ext cx="2615411" cy="426757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14</xdr:row>
      <xdr:rowOff>127000</xdr:rowOff>
    </xdr:from>
    <xdr:to>
      <xdr:col>9</xdr:col>
      <xdr:colOff>463550</xdr:colOff>
      <xdr:row>31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971C6-A4C0-200A-2879-757040939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0.32727</cdr:x>
      <cdr:y>0</cdr:y>
    </cdr:from>
    <cdr:to>
      <cdr:x>0.6393</cdr:x>
      <cdr:y>0.14178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65238861-F986-0FA7-B8FD-A8EA69693AE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743200" y="0"/>
          <a:ext cx="2615411" cy="426757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14</xdr:row>
      <xdr:rowOff>107950</xdr:rowOff>
    </xdr:from>
    <xdr:to>
      <xdr:col>9</xdr:col>
      <xdr:colOff>50800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13029-5BD5-9C1B-3829-A9F8A694B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0.30602</cdr:x>
      <cdr:y>0.02022</cdr:y>
    </cdr:from>
    <cdr:to>
      <cdr:x>0.6047</cdr:x>
      <cdr:y>0.17125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C33E868-181C-FDA3-2F33-77262829077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679700" y="57150"/>
          <a:ext cx="2615411" cy="426757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amirez_Sthefanie_sales_analysis..csv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Ramirez_Sthefanie_sales_analysis..csv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thef/data-analytics/Ramirez_Sthefanie_sales_analysis..csv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hef" refreshedDate="46142.896181018521" createdVersion="8" refreshedVersion="8" minRefreshableVersion="3" recordCount="12" xr:uid="{CB59BEAC-46C6-4AF8-A133-9F4A3104470D}">
  <cacheSource type="worksheet">
    <worksheetSource ref="A1:K13" sheet="Montly_Sales_RP_22"/>
  </cacheSource>
  <cacheFields count="10">
    <cacheField name="Monthly_Sales" numFmtId="0">
      <sharedItems count="12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</sharedItems>
    </cacheField>
    <cacheField name="Transactions" numFmtId="0">
      <sharedItems containsSemiMixedTypes="0" containsString="0" containsNumber="1" containsInteger="1" minValue="523" maxValue="613"/>
    </cacheField>
    <cacheField name="Revenue" numFmtId="0">
      <sharedItems containsSemiMixedTypes="0" containsString="0" containsNumber="1" minValue="76920.06" maxValue="94892.89"/>
    </cacheField>
    <cacheField name="Average_Revenue" numFmtId="0">
      <sharedItems containsSemiMixedTypes="0" containsString="0" containsNumber="1" minValue="128.3963" maxValue="159.94049999999999"/>
    </cacheField>
    <cacheField name="Apparel" numFmtId="0">
      <sharedItems containsSemiMixedTypes="0" containsString="0" containsNumber="1" minValue="2199.75" maxValue="3636.6"/>
    </cacheField>
    <cacheField name="Art_Supplies" numFmtId="0">
      <sharedItems containsSemiMixedTypes="0" containsString="0" containsNumber="1" minValue="1726.3" maxValue="3224.79"/>
    </cacheField>
    <cacheField name="Books" numFmtId="0">
      <sharedItems containsSemiMixedTypes="0" containsString="0" containsNumber="1" minValue="734.89" maxValue="1708.09"/>
    </cacheField>
    <cacheField name="Stationery" numFmtId="0">
      <sharedItems containsSemiMixedTypes="0" containsString="0" containsNumber="1" minValue="842.55" maxValue="1229.6600000000001"/>
    </cacheField>
    <cacheField name="Technology" numFmtId="0">
      <sharedItems containsSemiMixedTypes="0" containsString="0" containsNumber="1" minValue="48103.42" maxValue="65916.14"/>
    </cacheField>
    <cacheField name="Textbooks" numFmtId="0">
      <sharedItems containsSemiMixedTypes="0" containsString="0" containsNumber="1" minValue="15081.54" maxValue="23019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hef" refreshedDate="46142.90360474537" createdVersion="8" refreshedVersion="8" minRefreshableVersion="3" recordCount="12" xr:uid="{18B826B0-8985-4276-9F89-B973B2743E44}">
  <cacheSource type="worksheet">
    <worksheetSource ref="A1:J13" sheet="Montly_Sales_RP_233" r:id="rId2"/>
  </cacheSource>
  <cacheFields count="10">
    <cacheField name="Monthly_Sales" numFmtId="0">
      <sharedItems count="12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</sharedItems>
    </cacheField>
    <cacheField name="Transactions" numFmtId="0">
      <sharedItems containsSemiMixedTypes="0" containsString="0" containsNumber="1" containsInteger="1" minValue="828" maxValue="959"/>
    </cacheField>
    <cacheField name="Revenue" numFmtId="0">
      <sharedItems containsSemiMixedTypes="0" containsString="0" containsNumber="1" minValue="110745.7" maxValue="137070.84"/>
    </cacheField>
    <cacheField name="Average_Revenue" numFmtId="0">
      <sharedItems containsSemiMixedTypes="0" containsString="0" containsNumber="1" minValue="123.4233" maxValue="161.3929"/>
    </cacheField>
    <cacheField name="Apparel" numFmtId="0">
      <sharedItems containsSemiMixedTypes="0" containsString="0" containsNumber="1" minValue="4774.92" maxValue="6244.63"/>
    </cacheField>
    <cacheField name="Art_Supplies" numFmtId="0">
      <sharedItems containsSemiMixedTypes="0" containsString="0" containsNumber="1" minValue="3347.87" maxValue="5720.6"/>
    </cacheField>
    <cacheField name="Books" numFmtId="0">
      <sharedItems containsSemiMixedTypes="0" containsString="0" containsNumber="1" minValue="1325.86" maxValue="2503.3200000000002"/>
    </cacheField>
    <cacheField name="Stationery" numFmtId="0">
      <sharedItems containsSemiMixedTypes="0" containsString="0" containsNumber="1" minValue="1510.31" maxValue="2176.7399999999998"/>
    </cacheField>
    <cacheField name="Technology" numFmtId="0">
      <sharedItems containsSemiMixedTypes="0" containsString="0" containsNumber="1" minValue="70025.240000000005" maxValue="96270.720000000001"/>
    </cacheField>
    <cacheField name="Textbooks" numFmtId="0">
      <sharedItems containsSemiMixedTypes="0" containsString="0" containsNumber="1" minValue="18047.349999999999" maxValue="29527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hef" refreshedDate="46142.907880902778" createdVersion="8" refreshedVersion="8" minRefreshableVersion="3" recordCount="12" xr:uid="{014BBFAD-5B81-4539-884B-2D2D5103C3A2}">
  <cacheSource type="worksheet">
    <worksheetSource ref="A1:J13" sheet="Montly_Sales_RP_24"/>
  </cacheSource>
  <cacheFields count="10">
    <cacheField name="Monthly_Sales" numFmtId="0">
      <sharedItems count="12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Transactions" numFmtId="0">
      <sharedItems containsSemiMixedTypes="0" containsString="0" containsNumber="1" containsInteger="1" minValue="764" maxValue="989"/>
    </cacheField>
    <cacheField name="Revenue" numFmtId="0">
      <sharedItems containsSemiMixedTypes="0" containsString="0" containsNumber="1" minValue="104570.81" maxValue="139385.22"/>
    </cacheField>
    <cacheField name="Average_Revenue" numFmtId="0">
      <sharedItems containsSemiMixedTypes="0" containsString="0" containsNumber="1" minValue="124.70269999999999" maxValue="159.66229999999999"/>
    </cacheField>
    <cacheField name="Apparel" numFmtId="0">
      <sharedItems containsSemiMixedTypes="0" containsString="0" containsNumber="1" minValue="4668.38" maxValue="6636.16"/>
    </cacheField>
    <cacheField name="Art_Supplies" numFmtId="0">
      <sharedItems containsSemiMixedTypes="0" containsString="0" containsNumber="1" minValue="3347.87" maxValue="5522.4"/>
    </cacheField>
    <cacheField name="Books" numFmtId="0">
      <sharedItems containsSemiMixedTypes="0" containsString="0" containsNumber="1" minValue="1487.43" maxValue="2503.3200000000002"/>
    </cacheField>
    <cacheField name="Stationery" numFmtId="0">
      <sharedItems containsSemiMixedTypes="0" containsString="0" containsNumber="1" minValue="1540.15" maxValue="2265.29"/>
    </cacheField>
    <cacheField name="Technology" numFmtId="0">
      <sharedItems containsSemiMixedTypes="0" containsString="0" containsNumber="1" minValue="69203.88" maxValue="97266.3"/>
    </cacheField>
    <cacheField name="Textbooks" numFmtId="0">
      <sharedItems containsSemiMixedTypes="0" containsString="0" containsNumber="1" minValue="18047.349999999999" maxValue="29773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hef" refreshedDate="46142.909723263889" createdVersion="8" refreshedVersion="8" minRefreshableVersion="3" recordCount="12" xr:uid="{FFBEE906-9990-4756-B8FC-653105EF0AB5}">
  <cacheSource type="worksheet">
    <worksheetSource ref="A1:J13" sheet="Montly_Sales_RP_25"/>
  </cacheSource>
  <cacheFields count="10">
    <cacheField name="Monthly_Sales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Transactions" numFmtId="0">
      <sharedItems containsSemiMixedTypes="0" containsString="0" containsNumber="1" containsInteger="1" minValue="1210" maxValue="2093"/>
    </cacheField>
    <cacheField name="Revenue" numFmtId="0">
      <sharedItems containsSemiMixedTypes="0" containsString="0" containsNumber="1" minValue="165726.20000000001" maxValue="330762.82"/>
    </cacheField>
    <cacheField name="Average_Revenue" numFmtId="0">
      <sharedItems containsSemiMixedTypes="0" containsString="0" containsNumber="1" minValue="93.807699999999997" maxValue="158.03290000000001"/>
    </cacheField>
    <cacheField name="Apparel" numFmtId="0">
      <sharedItems containsSemiMixedTypes="0" containsString="0" containsNumber="1" minValue="8109.53" maxValue="14545.92"/>
    </cacheField>
    <cacheField name="Art_Supplies" numFmtId="0">
      <sharedItems containsSemiMixedTypes="0" containsString="0" containsNumber="1" minValue="6169.08" maxValue="11924.65"/>
    </cacheField>
    <cacheField name="Books" numFmtId="0">
      <sharedItems containsSemiMixedTypes="0" containsString="0" containsNumber="1" minValue="2918.32" maxValue="5341.24"/>
    </cacheField>
    <cacheField name="Stationery" numFmtId="0">
      <sharedItems containsSemiMixedTypes="0" containsString="0" containsNumber="1" minValue="2523.5700000000002" maxValue="4856.1899999999996"/>
    </cacheField>
    <cacheField name="Technology" numFmtId="0">
      <sharedItems containsSemiMixedTypes="0" containsString="0" containsNumber="1" minValue="99140.64" maxValue="257001.19"/>
    </cacheField>
    <cacheField name="Textbooks" numFmtId="0">
      <sharedItems containsSemiMixedTypes="0" containsString="0" containsNumber="1" minValue="12443.31" maxValue="4058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hef" refreshedDate="46142.914568287037" createdVersion="8" refreshedVersion="8" minRefreshableVersion="3" recordCount="4" xr:uid="{3158BE06-A0EE-43B3-BDD8-E05E2BA4ADE4}">
  <cacheSource type="worksheet">
    <worksheetSource ref="A4:H8" sheet="Sheet14" r:id="rId2"/>
  </cacheSource>
  <cacheFields count="8">
    <cacheField name="Year" numFmtId="0">
      <sharedItems count="4">
        <s v="2022"/>
        <s v="2023"/>
        <s v="2024"/>
        <s v="2025"/>
      </sharedItems>
    </cacheField>
    <cacheField name="Apparel" numFmtId="164">
      <sharedItems containsSemiMixedTypes="0" containsString="0" containsNumber="1" minValue="37030.89" maxValue="128662.22"/>
    </cacheField>
    <cacheField name="Art Supplies" numFmtId="164">
      <sharedItems containsSemiMixedTypes="0" containsString="0" containsNumber="1" minValue="30306.37" maxValue="105935.84"/>
    </cacheField>
    <cacheField name="Books" numFmtId="164">
      <sharedItems containsSemiMixedTypes="0" containsString="0" containsNumber="1" minValue="15131" maxValue="45521.48"/>
    </cacheField>
    <cacheField name="Stationery" numFmtId="164">
      <sharedItems containsSemiMixedTypes="0" containsString="0" containsNumber="1" minValue="13029.18" maxValue="42403.199999999997"/>
    </cacheField>
    <cacheField name="Technology" numFmtId="164">
      <sharedItems containsSemiMixedTypes="0" containsString="0" containsNumber="1" minValue="685377.79" maxValue="1783033.66"/>
    </cacheField>
    <cacheField name="Textbooks" numFmtId="164">
      <sharedItems containsSemiMixedTypes="0" containsString="0" containsNumber="1" minValue="230480.29" maxValue="316361.77"/>
    </cacheField>
    <cacheField name="Total" numFmtId="164">
      <sharedItems containsSemiMixedTypes="0" containsString="0" containsNumber="1" minValue="1011355.52" maxValue="2421918.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hef" refreshedDate="46143.532743402779" createdVersion="8" refreshedVersion="8" minRefreshableVersion="3" recordCount="864" xr:uid="{8923A933-E489-4EC5-A055-D2BBF226E00B}">
  <cacheSource type="worksheet">
    <worksheetSource ref="A1:F865" sheet="Ramirez_Sthefanie_sales_analysi" r:id="rId2"/>
  </cacheSource>
  <cacheFields count="6">
    <cacheField name="Store_Location" numFmtId="0">
      <sharedItems count="18">
        <s v="Denver"/>
        <s v="Greeley"/>
        <s v="Littleton"/>
        <s v="Fort Collins"/>
        <s v="Loveland"/>
        <s v="Lafayette"/>
        <s v="Sedalia"/>
        <s v="Castle Rock"/>
        <s v="Aurora"/>
        <s v="Berthoud"/>
        <s v="Grand Junction"/>
        <s v="Englewood"/>
        <s v="Thornton"/>
        <s v="Milliken"/>
        <s v="Boulder"/>
        <s v="Wheat Ridge"/>
        <s v="Parker"/>
        <s v="New Castle"/>
      </sharedItems>
    </cacheField>
    <cacheField name="Monthly_Sales" numFmtId="0">
      <sharedItems count="48">
        <s v="2025-10"/>
        <s v="2025-11"/>
        <s v="2025-01"/>
        <s v="2025-07"/>
        <s v="2025-12"/>
        <s v="2025-08"/>
        <s v="2025-05"/>
        <s v="2025-09"/>
        <s v="2025-03"/>
        <s v="2025-02"/>
        <s v="2025-06"/>
        <s v="2025-04"/>
        <s v="2023-08"/>
        <s v="2024-07"/>
        <s v="2024-08"/>
        <s v="2023-12"/>
        <s v="2023-09"/>
        <s v="2024-11"/>
        <s v="2022-08"/>
        <s v="2024-01"/>
        <s v="2023-02"/>
        <s v="2023-01"/>
        <s v="2024-12"/>
        <s v="2024-10"/>
        <s v="2023-10"/>
        <s v="2022-05"/>
        <s v="2022-07"/>
        <s v="2023-11"/>
        <s v="2024-09"/>
        <s v="2023-05"/>
        <s v="2024-04"/>
        <s v="2024-05"/>
        <s v="2024-03"/>
        <s v="2023-04"/>
        <s v="2023-07"/>
        <s v="2023-06"/>
        <s v="2024-06"/>
        <s v="2022-02"/>
        <s v="2022-12"/>
        <s v="2022-06"/>
        <s v="2023-03"/>
        <s v="2024-02"/>
        <s v="2022-11"/>
        <s v="2022-10"/>
        <s v="2022-03"/>
        <s v="2022-04"/>
        <s v="2022-01"/>
        <s v="2022-09"/>
      </sharedItems>
    </cacheField>
    <cacheField name="Total_Transactions" numFmtId="0">
      <sharedItems containsSemiMixedTypes="0" containsString="0" containsNumber="1" containsInteger="1" minValue="16" maxValue="291"/>
    </cacheField>
    <cacheField name="Total_Revenue" numFmtId="0">
      <sharedItems containsSemiMixedTypes="0" containsString="0" containsNumber="1" minValue="1222.07" maxValue="47434.75"/>
    </cacheField>
    <cacheField name="Average_Revenue" numFmtId="0">
      <sharedItems containsSemiMixedTypes="0" containsString="0" containsNumber="1" minValue="48.936399999999999" maxValue="333.63380000000001"/>
    </cacheField>
    <cacheField name="Store_Rank" numFmtId="0">
      <sharedItems containsSemiMixedTypes="0" containsString="0" containsNumber="1" containsInteger="1" minValue="1" maxValue="8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78"/>
    <n v="77950.98"/>
    <n v="134.86330000000001"/>
    <n v="3632.4"/>
    <n v="2283.52"/>
    <n v="959.78"/>
    <n v="1229.6600000000001"/>
    <n v="51086.31"/>
    <n v="18759.310000000001"/>
  </r>
  <r>
    <x v="1"/>
    <n v="570"/>
    <n v="80315.69"/>
    <n v="140.90469999999999"/>
    <n v="2199.75"/>
    <n v="3224.79"/>
    <n v="1244.9100000000001"/>
    <n v="1028.28"/>
    <n v="55437.16"/>
    <n v="17180.8"/>
  </r>
  <r>
    <x v="2"/>
    <n v="553"/>
    <n v="82516.36"/>
    <n v="149.2158"/>
    <n v="3133.64"/>
    <n v="2619.12"/>
    <n v="1201.73"/>
    <n v="1029.43"/>
    <n v="59450.9"/>
    <n v="15081.54"/>
  </r>
  <r>
    <x v="3"/>
    <n v="571"/>
    <n v="89350.31"/>
    <n v="156.4804"/>
    <n v="3189.07"/>
    <n v="1931.28"/>
    <n v="1121.48"/>
    <n v="1069.98"/>
    <n v="61067.94"/>
    <n v="20970.560000000001"/>
  </r>
  <r>
    <x v="4"/>
    <n v="610"/>
    <n v="94892.89"/>
    <n v="155.56209999999999"/>
    <n v="3132.81"/>
    <n v="3007"/>
    <n v="734.89"/>
    <n v="1101.3"/>
    <n v="63897.67"/>
    <n v="23019.22"/>
  </r>
  <r>
    <x v="5"/>
    <n v="543"/>
    <n v="86847.7"/>
    <n v="159.94049999999999"/>
    <n v="2927.67"/>
    <n v="1726.3"/>
    <n v="1230.96"/>
    <n v="1077.8900000000001"/>
    <n v="62870.8"/>
    <n v="17014.080000000002"/>
  </r>
  <r>
    <x v="6"/>
    <n v="600"/>
    <n v="94048.49"/>
    <n v="156.7475"/>
    <n v="2881.63"/>
    <n v="2879.83"/>
    <n v="1250.28"/>
    <n v="1076.22"/>
    <n v="65916.14"/>
    <n v="20044.39"/>
  </r>
  <r>
    <x v="7"/>
    <n v="573"/>
    <n v="87058.36"/>
    <n v="151.93430000000001"/>
    <n v="3582.97"/>
    <n v="2447.0100000000002"/>
    <n v="1111.02"/>
    <n v="1159.4100000000001"/>
    <n v="60144.88"/>
    <n v="18613.07"/>
  </r>
  <r>
    <x v="8"/>
    <n v="586"/>
    <n v="84206.09"/>
    <n v="143.69640000000001"/>
    <n v="2942.9"/>
    <n v="2788.04"/>
    <n v="1645.85"/>
    <n v="1087.8699999999999"/>
    <n v="56611.33"/>
    <n v="19130.099999999999"/>
  </r>
  <r>
    <x v="9"/>
    <n v="613"/>
    <n v="78706.960000000006"/>
    <n v="128.3963"/>
    <n v="3229.48"/>
    <n v="2784.17"/>
    <n v="1708.09"/>
    <n v="1106.5"/>
    <n v="48459.92"/>
    <n v="21418.799999999999"/>
  </r>
  <r>
    <x v="10"/>
    <n v="523"/>
    <n v="76920.06"/>
    <n v="147.07470000000001"/>
    <n v="2541.9699999999998"/>
    <n v="2190.59"/>
    <n v="1407.12"/>
    <n v="842.55"/>
    <n v="48103.42"/>
    <n v="21834.41"/>
  </r>
  <r>
    <x v="11"/>
    <n v="584"/>
    <n v="78541.63"/>
    <n v="134.48910000000001"/>
    <n v="3636.6"/>
    <n v="2424.7199999999998"/>
    <n v="1514.89"/>
    <n v="1220.0899999999999"/>
    <n v="52331.32"/>
    <n v="17414.00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855"/>
    <n v="127097.69"/>
    <n v="148.6523"/>
    <n v="5488.06"/>
    <n v="3347.87"/>
    <n v="2102.9"/>
    <n v="1840.79"/>
    <n v="96270.720000000001"/>
    <n v="18047.349999999999"/>
  </r>
  <r>
    <x v="1"/>
    <n v="862"/>
    <n v="118165.45"/>
    <n v="137.0829"/>
    <n v="5924"/>
    <n v="4884.8500000000004"/>
    <n v="1325.86"/>
    <n v="1953.7"/>
    <n v="85240.05"/>
    <n v="18836.990000000002"/>
  </r>
  <r>
    <x v="2"/>
    <n v="828"/>
    <n v="113336.1"/>
    <n v="136.8793"/>
    <n v="5457.45"/>
    <n v="3936.12"/>
    <n v="1915.66"/>
    <n v="1852.99"/>
    <n v="80893.27"/>
    <n v="19280.61"/>
  </r>
  <r>
    <x v="3"/>
    <n v="959"/>
    <n v="131835.32999999999"/>
    <n v="137.4717"/>
    <n v="6244.63"/>
    <n v="5120.7700000000004"/>
    <n v="2503.3200000000002"/>
    <n v="2176.7399999999998"/>
    <n v="95946.71"/>
    <n v="19843.16"/>
  </r>
  <r>
    <x v="4"/>
    <n v="849"/>
    <n v="126201.3"/>
    <n v="148.64699999999999"/>
    <n v="5369.74"/>
    <n v="4624.12"/>
    <n v="2034.94"/>
    <n v="1628.7"/>
    <n v="92938.97"/>
    <n v="19604.830000000002"/>
  </r>
  <r>
    <x v="5"/>
    <n v="841"/>
    <n v="110745.7"/>
    <n v="131.68340000000001"/>
    <n v="5570.79"/>
    <n v="3907.66"/>
    <n v="2107.58"/>
    <n v="1598.18"/>
    <n v="75351.12"/>
    <n v="22210.37"/>
  </r>
  <r>
    <x v="6"/>
    <n v="942"/>
    <n v="137070.84"/>
    <n v="145.5104"/>
    <n v="6184.36"/>
    <n v="5720.6"/>
    <n v="1641.01"/>
    <n v="1642.36"/>
    <n v="94947.86"/>
    <n v="26934.65"/>
  </r>
  <r>
    <x v="7"/>
    <n v="949"/>
    <n v="132936.24"/>
    <n v="140.08029999999999"/>
    <n v="5650.73"/>
    <n v="4775.3999999999996"/>
    <n v="2003.58"/>
    <n v="1875.11"/>
    <n v="89396.94"/>
    <n v="29234.48"/>
  </r>
  <r>
    <x v="8"/>
    <n v="849"/>
    <n v="137022.6"/>
    <n v="161.3929"/>
    <n v="4982.97"/>
    <n v="3702.86"/>
    <n v="1869.67"/>
    <n v="1510.31"/>
    <n v="95429.33"/>
    <n v="29527.46"/>
  </r>
  <r>
    <x v="9"/>
    <n v="844"/>
    <n v="118913.3"/>
    <n v="140.89250000000001"/>
    <n v="4774.92"/>
    <n v="3819.51"/>
    <n v="1726.41"/>
    <n v="1710.44"/>
    <n v="83385.919999999998"/>
    <n v="23496.1"/>
  </r>
  <r>
    <x v="10"/>
    <n v="891"/>
    <n v="122127.52"/>
    <n v="137.06790000000001"/>
    <n v="5208.09"/>
    <n v="3735"/>
    <n v="2262.5700000000002"/>
    <n v="1782.42"/>
    <n v="81940.25"/>
    <n v="27199.19"/>
  </r>
  <r>
    <x v="11"/>
    <n v="911"/>
    <n v="112438.65"/>
    <n v="123.4233"/>
    <n v="5960.22"/>
    <n v="4179.6899999999996"/>
    <n v="1860.21"/>
    <n v="1918.14"/>
    <n v="70025.240000000005"/>
    <n v="28495.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959"/>
    <n v="130507.83"/>
    <n v="136.0874"/>
    <n v="6636.16"/>
    <n v="5427.52"/>
    <n v="1487.43"/>
    <n v="2144.59"/>
    <n v="94414.21"/>
    <n v="20397.919999999998"/>
  </r>
  <r>
    <x v="1"/>
    <n v="764"/>
    <n v="104570.81"/>
    <n v="136.87280000000001"/>
    <n v="4979.7700000000004"/>
    <n v="3554.75"/>
    <n v="1801.61"/>
    <n v="1732.58"/>
    <n v="73898.37"/>
    <n v="18603.73"/>
  </r>
  <r>
    <x v="2"/>
    <n v="989"/>
    <n v="133808.20000000001"/>
    <n v="135.29650000000001"/>
    <n v="6553.73"/>
    <n v="5314.94"/>
    <n v="2503.3200000000002"/>
    <n v="2265.29"/>
    <n v="96788"/>
    <n v="20382.919999999998"/>
  </r>
  <r>
    <x v="3"/>
    <n v="819"/>
    <n v="124228.43"/>
    <n v="151.6831"/>
    <n v="5060.6400000000003"/>
    <n v="4429.95"/>
    <n v="2034.94"/>
    <n v="1540.15"/>
    <n v="92097.68"/>
    <n v="19065.07"/>
  </r>
  <r>
    <x v="4"/>
    <n v="869"/>
    <n v="116437.33"/>
    <n v="133.99"/>
    <n v="5626.71"/>
    <n v="4105.8599999999997"/>
    <n v="2176.4"/>
    <n v="1640.71"/>
    <n v="80014.16"/>
    <n v="22873.49"/>
  </r>
  <r>
    <x v="5"/>
    <n v="914"/>
    <n v="131379.21"/>
    <n v="143.74090000000001"/>
    <n v="6128.44"/>
    <n v="5522.4"/>
    <n v="1572.19"/>
    <n v="1599.83"/>
    <n v="90284.82"/>
    <n v="26271.53"/>
  </r>
  <r>
    <x v="6"/>
    <n v="949"/>
    <n v="132936.24"/>
    <n v="140.08029999999999"/>
    <n v="5650.73"/>
    <n v="4775.3999999999996"/>
    <n v="2003.58"/>
    <n v="1875.11"/>
    <n v="89396.94"/>
    <n v="29234.48"/>
  </r>
  <r>
    <x v="7"/>
    <n v="873"/>
    <n v="139385.22"/>
    <n v="159.66229999999999"/>
    <n v="5089.51"/>
    <n v="3805.57"/>
    <n v="1890.03"/>
    <n v="1560.65"/>
    <n v="97266.3"/>
    <n v="29773.16"/>
  </r>
  <r>
    <x v="8"/>
    <n v="820"/>
    <n v="116550.68"/>
    <n v="142.13499999999999"/>
    <n v="4668.38"/>
    <n v="3716.8"/>
    <n v="1706.05"/>
    <n v="1660.1"/>
    <n v="81548.95"/>
    <n v="23250.400000000001"/>
  </r>
  <r>
    <x v="9"/>
    <n v="917"/>
    <n v="124204.24"/>
    <n v="135.44630000000001"/>
    <n v="5434.43"/>
    <n v="3852.46"/>
    <n v="2274.69"/>
    <n v="1813.35"/>
    <n v="82761.61"/>
    <n v="28067.7"/>
  </r>
  <r>
    <x v="10"/>
    <n v="885"/>
    <n v="110361.93"/>
    <n v="124.70269999999999"/>
    <n v="5733.88"/>
    <n v="4062.23"/>
    <n v="1848.09"/>
    <n v="1887.21"/>
    <n v="69203.88"/>
    <n v="27626.639999999999"/>
  </r>
  <r>
    <x v="11"/>
    <n v="855"/>
    <n v="127097.69"/>
    <n v="148.6523"/>
    <n v="5488.06"/>
    <n v="3347.87"/>
    <n v="2102.9"/>
    <n v="1840.79"/>
    <n v="96270.720000000001"/>
    <n v="18047.3499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463"/>
    <n v="181006.05"/>
    <n v="123.7225"/>
    <n v="11060.32"/>
    <n v="9497.33"/>
    <n v="3653.6"/>
    <n v="3888.98"/>
    <n v="138621.67000000001"/>
    <n v="14284.15"/>
  </r>
  <r>
    <x v="1"/>
    <n v="1210"/>
    <n v="165726.20000000001"/>
    <n v="136.96379999999999"/>
    <n v="9009.19"/>
    <n v="7018.05"/>
    <n v="2918.32"/>
    <n v="3067.68"/>
    <n v="131269.65"/>
    <n v="12443.31"/>
  </r>
  <r>
    <x v="2"/>
    <n v="1409"/>
    <n v="183144.31"/>
    <n v="129.98179999999999"/>
    <n v="9456.3700000000008"/>
    <n v="8656.48"/>
    <n v="3839.4"/>
    <n v="3185.88"/>
    <n v="136640.48000000001"/>
    <n v="21365.7"/>
  </r>
  <r>
    <x v="3"/>
    <n v="1800"/>
    <n v="168853.86"/>
    <n v="93.807699999999997"/>
    <n v="12929.77"/>
    <n v="11310.65"/>
    <n v="4480.54"/>
    <n v="4856.1899999999996"/>
    <n v="102381.4"/>
    <n v="32895.31"/>
  </r>
  <r>
    <x v="4"/>
    <n v="1834"/>
    <n v="186318.66"/>
    <n v="101.59139999999999"/>
    <n v="14308.74"/>
    <n v="11924.65"/>
    <n v="5341.24"/>
    <n v="4509.87"/>
    <n v="118406.29"/>
    <n v="31827.87"/>
  </r>
  <r>
    <x v="5"/>
    <n v="1755"/>
    <n v="167246.64000000001"/>
    <n v="95.297200000000004"/>
    <n v="14545.92"/>
    <n v="10772.21"/>
    <n v="4565.54"/>
    <n v="4538.95"/>
    <n v="99140.64"/>
    <n v="33683.379999999997"/>
  </r>
  <r>
    <x v="6"/>
    <n v="1333"/>
    <n v="204640.58"/>
    <n v="153.5188"/>
    <n v="9013.64"/>
    <n v="6169.08"/>
    <n v="3243.61"/>
    <n v="2958.09"/>
    <n v="156807.07999999999"/>
    <n v="26449.08"/>
  </r>
  <r>
    <x v="7"/>
    <n v="1339"/>
    <n v="209591.63"/>
    <n v="156.52850000000001"/>
    <n v="8361.7999999999993"/>
    <n v="7645.61"/>
    <n v="2998.39"/>
    <n v="2709.34"/>
    <n v="161517.13"/>
    <n v="26359.360000000001"/>
  </r>
  <r>
    <x v="8"/>
    <n v="1304"/>
    <n v="196114.94"/>
    <n v="150.39490000000001"/>
    <n v="8783.94"/>
    <n v="7283.78"/>
    <n v="3120.1"/>
    <n v="2523.5700000000002"/>
    <n v="150733.42000000001"/>
    <n v="23670.13"/>
  </r>
  <r>
    <x v="9"/>
    <n v="2093"/>
    <n v="330762.82"/>
    <n v="158.03290000000001"/>
    <n v="13414.3"/>
    <n v="10562.4"/>
    <n v="4909.59"/>
    <n v="4294.84"/>
    <n v="257001.19"/>
    <n v="40580.5"/>
  </r>
  <r>
    <x v="10"/>
    <n v="1400"/>
    <n v="220240.73"/>
    <n v="157.31479999999999"/>
    <n v="8109.53"/>
    <n v="7482.93"/>
    <n v="3130.52"/>
    <n v="2916.37"/>
    <n v="175539.20000000001"/>
    <n v="23062.18"/>
  </r>
  <r>
    <x v="11"/>
    <n v="1461"/>
    <n v="208271.75"/>
    <n v="142.55420000000001"/>
    <n v="9668.7000000000007"/>
    <n v="7612.67"/>
    <n v="3320.63"/>
    <n v="2953.44"/>
    <n v="154975.51"/>
    <n v="29740.799999999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7030.89"/>
    <n v="30306.37"/>
    <n v="15131"/>
    <n v="13029.18"/>
    <n v="685377.79"/>
    <n v="230480.29"/>
    <n v="1011355.52"/>
  </r>
  <r>
    <x v="1"/>
    <n v="66815.960000000006"/>
    <n v="51754.45"/>
    <n v="23353.71"/>
    <n v="21489.88"/>
    <n v="1041766.38"/>
    <n v="282710.34000000003"/>
    <n v="1487890.72"/>
  </r>
  <r>
    <x v="2"/>
    <n v="67050.44"/>
    <n v="51915.75"/>
    <n v="23401.23"/>
    <n v="21560.36"/>
    <n v="1043945.64"/>
    <n v="283594.39"/>
    <n v="1491467.81"/>
  </r>
  <r>
    <x v="3"/>
    <n v="128662.22"/>
    <n v="105935.84"/>
    <n v="45521.48"/>
    <n v="42403.199999999997"/>
    <n v="1783033.66"/>
    <n v="316361.77"/>
    <n v="2421918.1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">
  <r>
    <x v="0"/>
    <x v="0"/>
    <n v="291"/>
    <n v="47434.75"/>
    <n v="163.006"/>
    <n v="1"/>
  </r>
  <r>
    <x v="0"/>
    <x v="1"/>
    <n v="189"/>
    <n v="32879.31"/>
    <n v="173.96459999999999"/>
    <n v="2"/>
  </r>
  <r>
    <x v="0"/>
    <x v="2"/>
    <n v="231"/>
    <n v="32229.52"/>
    <n v="139.52170000000001"/>
    <n v="3"/>
  </r>
  <r>
    <x v="0"/>
    <x v="3"/>
    <n v="207"/>
    <n v="31909.02"/>
    <n v="154.1499"/>
    <n v="4"/>
  </r>
  <r>
    <x v="0"/>
    <x v="4"/>
    <n v="216"/>
    <n v="31561.42"/>
    <n v="146.11770000000001"/>
    <n v="5"/>
  </r>
  <r>
    <x v="1"/>
    <x v="0"/>
    <n v="192"/>
    <n v="30881.41"/>
    <n v="160.8407"/>
    <n v="6"/>
  </r>
  <r>
    <x v="0"/>
    <x v="5"/>
    <n v="188"/>
    <n v="30378.2"/>
    <n v="161.58619999999999"/>
    <n v="7"/>
  </r>
  <r>
    <x v="0"/>
    <x v="6"/>
    <n v="249"/>
    <n v="29923.56"/>
    <n v="120.17489999999999"/>
    <n v="8"/>
  </r>
  <r>
    <x v="0"/>
    <x v="7"/>
    <n v="163"/>
    <n v="26624.75"/>
    <n v="163.34200000000001"/>
    <n v="9"/>
  </r>
  <r>
    <x v="0"/>
    <x v="8"/>
    <n v="213"/>
    <n v="26498.68"/>
    <n v="124.40689999999999"/>
    <n v="10"/>
  </r>
  <r>
    <x v="0"/>
    <x v="9"/>
    <n v="214"/>
    <n v="26122.33"/>
    <n v="122.06699999999999"/>
    <n v="11"/>
  </r>
  <r>
    <x v="0"/>
    <x v="10"/>
    <n v="247"/>
    <n v="23831.46"/>
    <n v="96.483599999999996"/>
    <n v="12"/>
  </r>
  <r>
    <x v="1"/>
    <x v="1"/>
    <n v="129"/>
    <n v="22069.56"/>
    <n v="171.08189999999999"/>
    <n v="13"/>
  </r>
  <r>
    <x v="0"/>
    <x v="11"/>
    <n v="243"/>
    <n v="21806.41"/>
    <n v="89.738299999999995"/>
    <n v="14"/>
  </r>
  <r>
    <x v="0"/>
    <x v="12"/>
    <n v="133"/>
    <n v="21806.26"/>
    <n v="163.95679999999999"/>
    <n v="15"/>
  </r>
  <r>
    <x v="0"/>
    <x v="13"/>
    <n v="133"/>
    <n v="21806.26"/>
    <n v="163.95679999999999"/>
    <n v="15"/>
  </r>
  <r>
    <x v="1"/>
    <x v="11"/>
    <n v="184"/>
    <n v="21637.67"/>
    <n v="117.596"/>
    <n v="17"/>
  </r>
  <r>
    <x v="2"/>
    <x v="0"/>
    <n v="108"/>
    <n v="21562.22"/>
    <n v="199.65020000000001"/>
    <n v="18"/>
  </r>
  <r>
    <x v="0"/>
    <x v="14"/>
    <n v="132"/>
    <n v="21485.37"/>
    <n v="162.768"/>
    <n v="19"/>
  </r>
  <r>
    <x v="1"/>
    <x v="6"/>
    <n v="173"/>
    <n v="21070.5"/>
    <n v="121.7948"/>
    <n v="20"/>
  </r>
  <r>
    <x v="0"/>
    <x v="15"/>
    <n v="130"/>
    <n v="20948.11"/>
    <n v="161.13929999999999"/>
    <n v="21"/>
  </r>
  <r>
    <x v="0"/>
    <x v="16"/>
    <n v="128"/>
    <n v="20945.310000000001"/>
    <n v="163.6352"/>
    <n v="22"/>
  </r>
  <r>
    <x v="1"/>
    <x v="7"/>
    <n v="131"/>
    <n v="20734.91"/>
    <n v="158.2818"/>
    <n v="23"/>
  </r>
  <r>
    <x v="0"/>
    <x v="17"/>
    <n v="127"/>
    <n v="20581.05"/>
    <n v="162.05549999999999"/>
    <n v="24"/>
  </r>
  <r>
    <x v="0"/>
    <x v="18"/>
    <n v="82"/>
    <n v="20298.259999999998"/>
    <n v="247.53980000000001"/>
    <n v="25"/>
  </r>
  <r>
    <x v="1"/>
    <x v="8"/>
    <n v="139"/>
    <n v="20133.89"/>
    <n v="144.84809999999999"/>
    <n v="26"/>
  </r>
  <r>
    <x v="3"/>
    <x v="0"/>
    <n v="100"/>
    <n v="19053.150000000001"/>
    <n v="190.53149999999999"/>
    <n v="27"/>
  </r>
  <r>
    <x v="1"/>
    <x v="3"/>
    <n v="124"/>
    <n v="18995.830000000002"/>
    <n v="153.19220000000001"/>
    <n v="28"/>
  </r>
  <r>
    <x v="4"/>
    <x v="0"/>
    <n v="103"/>
    <n v="18854.169999999998"/>
    <n v="183.05019999999999"/>
    <n v="29"/>
  </r>
  <r>
    <x v="5"/>
    <x v="19"/>
    <n v="57"/>
    <n v="18203.349999999999"/>
    <n v="319.35700000000003"/>
    <n v="30"/>
  </r>
  <r>
    <x v="5"/>
    <x v="20"/>
    <n v="53"/>
    <n v="17682.59"/>
    <n v="333.63380000000001"/>
    <n v="31"/>
  </r>
  <r>
    <x v="1"/>
    <x v="9"/>
    <n v="120"/>
    <n v="17664.53"/>
    <n v="147.20439999999999"/>
    <n v="32"/>
  </r>
  <r>
    <x v="6"/>
    <x v="0"/>
    <n v="93"/>
    <n v="17532.490000000002"/>
    <n v="188.5214"/>
    <n v="33"/>
  </r>
  <r>
    <x v="0"/>
    <x v="21"/>
    <n v="125"/>
    <n v="17440.72"/>
    <n v="139.5258"/>
    <n v="34"/>
  </r>
  <r>
    <x v="0"/>
    <x v="22"/>
    <n v="125"/>
    <n v="17440.72"/>
    <n v="139.5258"/>
    <n v="34"/>
  </r>
  <r>
    <x v="7"/>
    <x v="0"/>
    <n v="105"/>
    <n v="17370.62"/>
    <n v="165.43450000000001"/>
    <n v="36"/>
  </r>
  <r>
    <x v="1"/>
    <x v="12"/>
    <n v="98"/>
    <n v="17339.63"/>
    <n v="176.935"/>
    <n v="37"/>
  </r>
  <r>
    <x v="1"/>
    <x v="13"/>
    <n v="98"/>
    <n v="17339.63"/>
    <n v="176.935"/>
    <n v="37"/>
  </r>
  <r>
    <x v="1"/>
    <x v="23"/>
    <n v="92"/>
    <n v="17206.47"/>
    <n v="187.02680000000001"/>
    <n v="39"/>
  </r>
  <r>
    <x v="0"/>
    <x v="24"/>
    <n v="123"/>
    <n v="17038.64"/>
    <n v="138.52549999999999"/>
    <n v="40"/>
  </r>
  <r>
    <x v="8"/>
    <x v="0"/>
    <n v="96"/>
    <n v="16868.16"/>
    <n v="175.71"/>
    <n v="41"/>
  </r>
  <r>
    <x v="0"/>
    <x v="25"/>
    <n v="89"/>
    <n v="16862.27"/>
    <n v="189.46369999999999"/>
    <n v="42"/>
  </r>
  <r>
    <x v="9"/>
    <x v="0"/>
    <n v="123"/>
    <n v="16854.32"/>
    <n v="137.02699999999999"/>
    <n v="43"/>
  </r>
  <r>
    <x v="10"/>
    <x v="8"/>
    <n v="86"/>
    <n v="16778.63"/>
    <n v="195.1003"/>
    <n v="44"/>
  </r>
  <r>
    <x v="11"/>
    <x v="5"/>
    <n v="69"/>
    <n v="16731.900000000001"/>
    <n v="242.4913"/>
    <n v="45"/>
  </r>
  <r>
    <x v="0"/>
    <x v="26"/>
    <n v="95"/>
    <n v="16689.52"/>
    <n v="175.67920000000001"/>
    <n v="46"/>
  </r>
  <r>
    <x v="1"/>
    <x v="27"/>
    <n v="88"/>
    <n v="16656.439999999999"/>
    <n v="189.27770000000001"/>
    <n v="47"/>
  </r>
  <r>
    <x v="1"/>
    <x v="5"/>
    <n v="110"/>
    <n v="16648.37"/>
    <n v="151.34880000000001"/>
    <n v="48"/>
  </r>
  <r>
    <x v="0"/>
    <x v="19"/>
    <n v="131"/>
    <n v="16504.72"/>
    <n v="125.9902"/>
    <n v="49"/>
  </r>
  <r>
    <x v="0"/>
    <x v="28"/>
    <n v="119"/>
    <n v="16498.580000000002"/>
    <n v="138.64349999999999"/>
    <n v="50"/>
  </r>
  <r>
    <x v="1"/>
    <x v="29"/>
    <n v="82"/>
    <n v="16408.02"/>
    <n v="200.09780000000001"/>
    <n v="51"/>
  </r>
  <r>
    <x v="1"/>
    <x v="30"/>
    <n v="80"/>
    <n v="16209.8"/>
    <n v="202.6225"/>
    <n v="52"/>
  </r>
  <r>
    <x v="0"/>
    <x v="31"/>
    <n v="138"/>
    <n v="16137.61"/>
    <n v="116.9392"/>
    <n v="53"/>
  </r>
  <r>
    <x v="0"/>
    <x v="32"/>
    <n v="128"/>
    <n v="16103.14"/>
    <n v="125.8058"/>
    <n v="54"/>
  </r>
  <r>
    <x v="0"/>
    <x v="33"/>
    <n v="127"/>
    <n v="16091.14"/>
    <n v="126.70189999999999"/>
    <n v="55"/>
  </r>
  <r>
    <x v="0"/>
    <x v="20"/>
    <n v="121"/>
    <n v="15986.07"/>
    <n v="132.1163"/>
    <n v="56"/>
  </r>
  <r>
    <x v="0"/>
    <x v="34"/>
    <n v="121"/>
    <n v="15788.42"/>
    <n v="130.4828"/>
    <n v="57"/>
  </r>
  <r>
    <x v="0"/>
    <x v="35"/>
    <n v="133"/>
    <n v="15737.1"/>
    <n v="118.3241"/>
    <n v="58"/>
  </r>
  <r>
    <x v="12"/>
    <x v="0"/>
    <n v="100"/>
    <n v="15620.15"/>
    <n v="156.20150000000001"/>
    <n v="59"/>
  </r>
  <r>
    <x v="1"/>
    <x v="4"/>
    <n v="123"/>
    <n v="15496.7"/>
    <n v="125.9894"/>
    <n v="60"/>
  </r>
  <r>
    <x v="0"/>
    <x v="36"/>
    <n v="116"/>
    <n v="15387.91"/>
    <n v="132.65440000000001"/>
    <n v="61"/>
  </r>
  <r>
    <x v="6"/>
    <x v="6"/>
    <n v="90"/>
    <n v="15342.53"/>
    <n v="170.4726"/>
    <n v="62"/>
  </r>
  <r>
    <x v="13"/>
    <x v="0"/>
    <n v="107"/>
    <n v="15022.92"/>
    <n v="140.40110000000001"/>
    <n v="63"/>
  </r>
  <r>
    <x v="14"/>
    <x v="5"/>
    <n v="66"/>
    <n v="14739.46"/>
    <n v="223.3252"/>
    <n v="64"/>
  </r>
  <r>
    <x v="2"/>
    <x v="1"/>
    <n v="85"/>
    <n v="14734.17"/>
    <n v="173.3432"/>
    <n v="65"/>
  </r>
  <r>
    <x v="1"/>
    <x v="10"/>
    <n v="170"/>
    <n v="14422.26"/>
    <n v="84.836799999999997"/>
    <n v="66"/>
  </r>
  <r>
    <x v="5"/>
    <x v="0"/>
    <n v="101"/>
    <n v="14369.16"/>
    <n v="142.2689"/>
    <n v="67"/>
  </r>
  <r>
    <x v="6"/>
    <x v="4"/>
    <n v="76"/>
    <n v="14360.04"/>
    <n v="188.9479"/>
    <n v="68"/>
  </r>
  <r>
    <x v="3"/>
    <x v="2"/>
    <n v="66"/>
    <n v="14334.42"/>
    <n v="217.18819999999999"/>
    <n v="69"/>
  </r>
  <r>
    <x v="15"/>
    <x v="0"/>
    <n v="99"/>
    <n v="14304.74"/>
    <n v="144.4923"/>
    <n v="70"/>
  </r>
  <r>
    <x v="16"/>
    <x v="0"/>
    <n v="100"/>
    <n v="14255.53"/>
    <n v="142.55529999999999"/>
    <n v="71"/>
  </r>
  <r>
    <x v="17"/>
    <x v="0"/>
    <n v="94"/>
    <n v="13934.03"/>
    <n v="148.23439999999999"/>
    <n v="72"/>
  </r>
  <r>
    <x v="1"/>
    <x v="21"/>
    <n v="93"/>
    <n v="13912.35"/>
    <n v="149.59520000000001"/>
    <n v="73"/>
  </r>
  <r>
    <x v="1"/>
    <x v="22"/>
    <n v="93"/>
    <n v="13912.35"/>
    <n v="149.59520000000001"/>
    <n v="73"/>
  </r>
  <r>
    <x v="1"/>
    <x v="34"/>
    <n v="89"/>
    <n v="13822.19"/>
    <n v="155.30549999999999"/>
    <n v="75"/>
  </r>
  <r>
    <x v="0"/>
    <x v="37"/>
    <n v="72"/>
    <n v="13781.66"/>
    <n v="191.4119"/>
    <n v="76"/>
  </r>
  <r>
    <x v="14"/>
    <x v="7"/>
    <n v="68"/>
    <n v="13698.19"/>
    <n v="201.44399999999999"/>
    <n v="77"/>
  </r>
  <r>
    <x v="1"/>
    <x v="36"/>
    <n v="87"/>
    <n v="13576.25"/>
    <n v="156.0489"/>
    <n v="78"/>
  </r>
  <r>
    <x v="0"/>
    <x v="38"/>
    <n v="94"/>
    <n v="13542.5"/>
    <n v="144.06909999999999"/>
    <n v="79"/>
  </r>
  <r>
    <x v="8"/>
    <x v="5"/>
    <n v="60"/>
    <n v="13447.4"/>
    <n v="224.1233"/>
    <n v="80"/>
  </r>
  <r>
    <x v="14"/>
    <x v="0"/>
    <n v="89"/>
    <n v="13367.82"/>
    <n v="150.2002"/>
    <n v="81"/>
  </r>
  <r>
    <x v="8"/>
    <x v="4"/>
    <n v="79"/>
    <n v="13366.63"/>
    <n v="169.1978"/>
    <n v="82"/>
  </r>
  <r>
    <x v="2"/>
    <x v="5"/>
    <n v="80"/>
    <n v="13192.13"/>
    <n v="164.9016"/>
    <n v="83"/>
  </r>
  <r>
    <x v="15"/>
    <x v="6"/>
    <n v="79"/>
    <n v="13063.03"/>
    <n v="165.35480000000001"/>
    <n v="84"/>
  </r>
  <r>
    <x v="1"/>
    <x v="2"/>
    <n v="143"/>
    <n v="12908.06"/>
    <n v="90.266199999999998"/>
    <n v="85"/>
  </r>
  <r>
    <x v="14"/>
    <x v="3"/>
    <n v="49"/>
    <n v="12888.16"/>
    <n v="263.02370000000002"/>
    <n v="86"/>
  </r>
  <r>
    <x v="0"/>
    <x v="39"/>
    <n v="80"/>
    <n v="12862.59"/>
    <n v="160.7824"/>
    <n v="87"/>
  </r>
  <r>
    <x v="0"/>
    <x v="40"/>
    <n v="101"/>
    <n v="12828.58"/>
    <n v="127.01560000000001"/>
    <n v="88"/>
  </r>
  <r>
    <x v="0"/>
    <x v="23"/>
    <n v="126"/>
    <n v="12822.71"/>
    <n v="101.7675"/>
    <n v="89"/>
  </r>
  <r>
    <x v="0"/>
    <x v="41"/>
    <n v="97"/>
    <n v="12727.96"/>
    <n v="131.21610000000001"/>
    <n v="90"/>
  </r>
  <r>
    <x v="11"/>
    <x v="3"/>
    <n v="74"/>
    <n v="12671.07"/>
    <n v="171.23070000000001"/>
    <n v="91"/>
  </r>
  <r>
    <x v="12"/>
    <x v="4"/>
    <n v="76"/>
    <n v="12646.59"/>
    <n v="166.4025"/>
    <n v="92"/>
  </r>
  <r>
    <x v="11"/>
    <x v="1"/>
    <n v="65"/>
    <n v="12515.97"/>
    <n v="192.55340000000001"/>
    <n v="93"/>
  </r>
  <r>
    <x v="0"/>
    <x v="27"/>
    <n v="123"/>
    <n v="12455.65"/>
    <n v="101.2654"/>
    <n v="94"/>
  </r>
  <r>
    <x v="1"/>
    <x v="32"/>
    <n v="91"/>
    <n v="12436.19"/>
    <n v="136.66139999999999"/>
    <n v="95"/>
  </r>
  <r>
    <x v="0"/>
    <x v="42"/>
    <n v="67"/>
    <n v="12432.97"/>
    <n v="185.5667"/>
    <n v="96"/>
  </r>
  <r>
    <x v="0"/>
    <x v="29"/>
    <n v="113"/>
    <n v="12379.16"/>
    <n v="109.5501"/>
    <n v="97"/>
  </r>
  <r>
    <x v="6"/>
    <x v="3"/>
    <n v="71"/>
    <n v="12369.77"/>
    <n v="174.22210000000001"/>
    <n v="98"/>
  </r>
  <r>
    <x v="1"/>
    <x v="15"/>
    <n v="94"/>
    <n v="12368.39"/>
    <n v="131.57859999999999"/>
    <n v="99"/>
  </r>
  <r>
    <x v="0"/>
    <x v="30"/>
    <n v="112"/>
    <n v="12367.16"/>
    <n v="110.4211"/>
    <n v="100"/>
  </r>
  <r>
    <x v="7"/>
    <x v="4"/>
    <n v="66"/>
    <n v="12250.19"/>
    <n v="185.60890000000001"/>
    <n v="101"/>
  </r>
  <r>
    <x v="13"/>
    <x v="7"/>
    <n v="66"/>
    <n v="12242.58"/>
    <n v="185.49359999999999"/>
    <n v="102"/>
  </r>
  <r>
    <x v="1"/>
    <x v="33"/>
    <n v="89"/>
    <n v="12237.97"/>
    <n v="137.50530000000001"/>
    <n v="103"/>
  </r>
  <r>
    <x v="10"/>
    <x v="4"/>
    <n v="82"/>
    <n v="12221.92"/>
    <n v="149.0478"/>
    <n v="104"/>
  </r>
  <r>
    <x v="16"/>
    <x v="3"/>
    <n v="55"/>
    <n v="12103.49"/>
    <n v="220.0635"/>
    <n v="105"/>
  </r>
  <r>
    <x v="1"/>
    <x v="40"/>
    <n v="82"/>
    <n v="12084.49"/>
    <n v="147.37180000000001"/>
    <n v="106"/>
  </r>
  <r>
    <x v="17"/>
    <x v="10"/>
    <n v="86"/>
    <n v="12076.04"/>
    <n v="140.41909999999999"/>
    <n v="107"/>
  </r>
  <r>
    <x v="10"/>
    <x v="7"/>
    <n v="66"/>
    <n v="12036.54"/>
    <n v="182.37180000000001"/>
    <n v="108"/>
  </r>
  <r>
    <x v="13"/>
    <x v="2"/>
    <n v="60"/>
    <n v="12017.09"/>
    <n v="200.28479999999999"/>
    <n v="109"/>
  </r>
  <r>
    <x v="1"/>
    <x v="42"/>
    <n v="54"/>
    <n v="12008.24"/>
    <n v="222.37479999999999"/>
    <n v="110"/>
  </r>
  <r>
    <x v="3"/>
    <x v="5"/>
    <n v="70"/>
    <n v="11988.03"/>
    <n v="171.2576"/>
    <n v="111"/>
  </r>
  <r>
    <x v="11"/>
    <x v="0"/>
    <n v="100"/>
    <n v="11967.82"/>
    <n v="119.6782"/>
    <n v="112"/>
  </r>
  <r>
    <x v="8"/>
    <x v="1"/>
    <n v="63"/>
    <n v="11956.57"/>
    <n v="189.7868"/>
    <n v="113"/>
  </r>
  <r>
    <x v="7"/>
    <x v="1"/>
    <n v="81"/>
    <n v="11927"/>
    <n v="147.24690000000001"/>
    <n v="114"/>
  </r>
  <r>
    <x v="1"/>
    <x v="17"/>
    <n v="90"/>
    <n v="11818.36"/>
    <n v="131.3151"/>
    <n v="115"/>
  </r>
  <r>
    <x v="1"/>
    <x v="43"/>
    <n v="60"/>
    <n v="11779.21"/>
    <n v="196.3202"/>
    <n v="116"/>
  </r>
  <r>
    <x v="0"/>
    <x v="44"/>
    <n v="58"/>
    <n v="11652.69"/>
    <n v="200.9084"/>
    <n v="117"/>
  </r>
  <r>
    <x v="4"/>
    <x v="10"/>
    <n v="91"/>
    <n v="11593.07"/>
    <n v="127.3964"/>
    <n v="118"/>
  </r>
  <r>
    <x v="3"/>
    <x v="4"/>
    <n v="73"/>
    <n v="11576.71"/>
    <n v="158.58510000000001"/>
    <n v="119"/>
  </r>
  <r>
    <x v="8"/>
    <x v="9"/>
    <n v="51"/>
    <n v="11562.72"/>
    <n v="226.72"/>
    <n v="120"/>
  </r>
  <r>
    <x v="10"/>
    <x v="0"/>
    <n v="92"/>
    <n v="11509.36"/>
    <n v="125.10169999999999"/>
    <n v="121"/>
  </r>
  <r>
    <x v="8"/>
    <x v="8"/>
    <n v="73"/>
    <n v="11385.55"/>
    <n v="155.96639999999999"/>
    <n v="122"/>
  </r>
  <r>
    <x v="12"/>
    <x v="1"/>
    <n v="74"/>
    <n v="11358.82"/>
    <n v="153.49760000000001"/>
    <n v="123"/>
  </r>
  <r>
    <x v="4"/>
    <x v="5"/>
    <n v="66"/>
    <n v="11261.28"/>
    <n v="170.62549999999999"/>
    <n v="124"/>
  </r>
  <r>
    <x v="1"/>
    <x v="25"/>
    <n v="63"/>
    <n v="11248.65"/>
    <n v="178.55"/>
    <n v="125"/>
  </r>
  <r>
    <x v="1"/>
    <x v="41"/>
    <n v="78"/>
    <n v="11240.07"/>
    <n v="144.1035"/>
    <n v="126"/>
  </r>
  <r>
    <x v="6"/>
    <x v="1"/>
    <n v="72"/>
    <n v="11222.2"/>
    <n v="155.8639"/>
    <n v="127"/>
  </r>
  <r>
    <x v="5"/>
    <x v="4"/>
    <n v="81"/>
    <n v="11200.11"/>
    <n v="138.273"/>
    <n v="128"/>
  </r>
  <r>
    <x v="12"/>
    <x v="2"/>
    <n v="75"/>
    <n v="11170.44"/>
    <n v="148.9392"/>
    <n v="129"/>
  </r>
  <r>
    <x v="5"/>
    <x v="2"/>
    <n v="77"/>
    <n v="11143.84"/>
    <n v="144.7252"/>
    <n v="130"/>
  </r>
  <r>
    <x v="10"/>
    <x v="1"/>
    <n v="63"/>
    <n v="11054.13"/>
    <n v="175.4624"/>
    <n v="131"/>
  </r>
  <r>
    <x v="16"/>
    <x v="4"/>
    <n v="60"/>
    <n v="11049.33"/>
    <n v="184.15549999999999"/>
    <n v="132"/>
  </r>
  <r>
    <x v="17"/>
    <x v="11"/>
    <n v="82"/>
    <n v="11038.75"/>
    <n v="134.6189"/>
    <n v="133"/>
  </r>
  <r>
    <x v="11"/>
    <x v="29"/>
    <n v="40"/>
    <n v="10998.42"/>
    <n v="274.96050000000002"/>
    <n v="134"/>
  </r>
  <r>
    <x v="5"/>
    <x v="6"/>
    <n v="98"/>
    <n v="10977.65"/>
    <n v="112.0168"/>
    <n v="135"/>
  </r>
  <r>
    <x v="4"/>
    <x v="7"/>
    <n v="67"/>
    <n v="10958.75"/>
    <n v="163.5634"/>
    <n v="136"/>
  </r>
  <r>
    <x v="11"/>
    <x v="11"/>
    <n v="87"/>
    <n v="10951.21"/>
    <n v="125.876"/>
    <n v="137"/>
  </r>
  <r>
    <x v="5"/>
    <x v="29"/>
    <n v="43"/>
    <n v="10936"/>
    <n v="254.32560000000001"/>
    <n v="138"/>
  </r>
  <r>
    <x v="16"/>
    <x v="1"/>
    <n v="64"/>
    <n v="10906.35"/>
    <n v="170.4117"/>
    <n v="139"/>
  </r>
  <r>
    <x v="10"/>
    <x v="6"/>
    <n v="94"/>
    <n v="10894.67"/>
    <n v="115.9007"/>
    <n v="140"/>
  </r>
  <r>
    <x v="7"/>
    <x v="14"/>
    <n v="41"/>
    <n v="10859.79"/>
    <n v="264.87290000000002"/>
    <n v="141"/>
  </r>
  <r>
    <x v="10"/>
    <x v="3"/>
    <n v="60"/>
    <n v="10850.58"/>
    <n v="180.84299999999999"/>
    <n v="142"/>
  </r>
  <r>
    <x v="5"/>
    <x v="30"/>
    <n v="40"/>
    <n v="10749.4"/>
    <n v="268.73500000000001"/>
    <n v="143"/>
  </r>
  <r>
    <x v="11"/>
    <x v="30"/>
    <n v="37"/>
    <n v="10712.09"/>
    <n v="289.51589999999999"/>
    <n v="144"/>
  </r>
  <r>
    <x v="0"/>
    <x v="45"/>
    <n v="89"/>
    <n v="10664.72"/>
    <n v="119.8283"/>
    <n v="145"/>
  </r>
  <r>
    <x v="7"/>
    <x v="16"/>
    <n v="40"/>
    <n v="10594.72"/>
    <n v="264.86799999999999"/>
    <n v="146"/>
  </r>
  <r>
    <x v="4"/>
    <x v="1"/>
    <n v="54"/>
    <n v="10589.84"/>
    <n v="196.10810000000001"/>
    <n v="147"/>
  </r>
  <r>
    <x v="9"/>
    <x v="6"/>
    <n v="95"/>
    <n v="10576.05"/>
    <n v="111.32680000000001"/>
    <n v="148"/>
  </r>
  <r>
    <x v="14"/>
    <x v="2"/>
    <n v="69"/>
    <n v="10534.06"/>
    <n v="152.66749999999999"/>
    <n v="149"/>
  </r>
  <r>
    <x v="8"/>
    <x v="32"/>
    <n v="56"/>
    <n v="10526.7"/>
    <n v="187.9768"/>
    <n v="150"/>
  </r>
  <r>
    <x v="3"/>
    <x v="11"/>
    <n v="94"/>
    <n v="10522.06"/>
    <n v="111.93680000000001"/>
    <n v="151"/>
  </r>
  <r>
    <x v="4"/>
    <x v="4"/>
    <n v="82"/>
    <n v="10486.3"/>
    <n v="127.8817"/>
    <n v="152"/>
  </r>
  <r>
    <x v="0"/>
    <x v="46"/>
    <n v="74"/>
    <n v="10467.31"/>
    <n v="141.45009999999999"/>
    <n v="153"/>
  </r>
  <r>
    <x v="0"/>
    <x v="47"/>
    <n v="84"/>
    <n v="10400.98"/>
    <n v="123.8212"/>
    <n v="154"/>
  </r>
  <r>
    <x v="17"/>
    <x v="5"/>
    <n v="66"/>
    <n v="10394.17"/>
    <n v="157.48740000000001"/>
    <n v="155"/>
  </r>
  <r>
    <x v="8"/>
    <x v="33"/>
    <n v="52"/>
    <n v="10391.200000000001"/>
    <n v="199.83080000000001"/>
    <n v="156"/>
  </r>
  <r>
    <x v="10"/>
    <x v="31"/>
    <n v="41"/>
    <n v="10388.85"/>
    <n v="253.38659999999999"/>
    <n v="157"/>
  </r>
  <r>
    <x v="10"/>
    <x v="35"/>
    <n v="40"/>
    <n v="10327.709999999999"/>
    <n v="258.19279999999998"/>
    <n v="158"/>
  </r>
  <r>
    <x v="6"/>
    <x v="7"/>
    <n v="74"/>
    <n v="10323.91"/>
    <n v="139.51230000000001"/>
    <n v="159"/>
  </r>
  <r>
    <x v="14"/>
    <x v="10"/>
    <n v="96"/>
    <n v="10313.59"/>
    <n v="107.4332"/>
    <n v="160"/>
  </r>
  <r>
    <x v="3"/>
    <x v="7"/>
    <n v="69"/>
    <n v="10305.27"/>
    <n v="149.35169999999999"/>
    <n v="161"/>
  </r>
  <r>
    <x v="1"/>
    <x v="24"/>
    <n v="60"/>
    <n v="10302.51"/>
    <n v="171.70849999999999"/>
    <n v="162"/>
  </r>
  <r>
    <x v="1"/>
    <x v="31"/>
    <n v="72"/>
    <n v="10265.68"/>
    <n v="142.5789"/>
    <n v="163"/>
  </r>
  <r>
    <x v="13"/>
    <x v="3"/>
    <n v="55"/>
    <n v="10259.51"/>
    <n v="186.53649999999999"/>
    <n v="164"/>
  </r>
  <r>
    <x v="11"/>
    <x v="21"/>
    <n v="40"/>
    <n v="10212.18"/>
    <n v="255.30449999999999"/>
    <n v="165"/>
  </r>
  <r>
    <x v="11"/>
    <x v="22"/>
    <n v="40"/>
    <n v="10212.18"/>
    <n v="255.30449999999999"/>
    <n v="165"/>
  </r>
  <r>
    <x v="1"/>
    <x v="28"/>
    <n v="58"/>
    <n v="10205.790000000001"/>
    <n v="175.96190000000001"/>
    <n v="167"/>
  </r>
  <r>
    <x v="15"/>
    <x v="5"/>
    <n v="69"/>
    <n v="10201.98"/>
    <n v="147.85480000000001"/>
    <n v="168"/>
  </r>
  <r>
    <x v="15"/>
    <x v="14"/>
    <n v="53"/>
    <n v="10190.34"/>
    <n v="192.2706"/>
    <n v="169"/>
  </r>
  <r>
    <x v="17"/>
    <x v="6"/>
    <n v="83"/>
    <n v="10162.86"/>
    <n v="122.44410000000001"/>
    <n v="170"/>
  </r>
  <r>
    <x v="3"/>
    <x v="3"/>
    <n v="69"/>
    <n v="10140.290000000001"/>
    <n v="146.9607"/>
    <n v="171"/>
  </r>
  <r>
    <x v="12"/>
    <x v="10"/>
    <n v="93"/>
    <n v="10120.86"/>
    <n v="108.8265"/>
    <n v="172"/>
  </r>
  <r>
    <x v="15"/>
    <x v="8"/>
    <n v="65"/>
    <n v="10117.709999999999"/>
    <n v="155.65710000000001"/>
    <n v="173"/>
  </r>
  <r>
    <x v="1"/>
    <x v="35"/>
    <n v="70"/>
    <n v="10019.74"/>
    <n v="143.13910000000001"/>
    <n v="174"/>
  </r>
  <r>
    <x v="1"/>
    <x v="38"/>
    <n v="54"/>
    <n v="10011.02"/>
    <n v="185.38929999999999"/>
    <n v="175"/>
  </r>
  <r>
    <x v="17"/>
    <x v="34"/>
    <n v="53"/>
    <n v="9987.08"/>
    <n v="188.43549999999999"/>
    <n v="176"/>
  </r>
  <r>
    <x v="17"/>
    <x v="36"/>
    <n v="51"/>
    <n v="9944.7800000000007"/>
    <n v="194.9957"/>
    <n v="177"/>
  </r>
  <r>
    <x v="15"/>
    <x v="9"/>
    <n v="67"/>
    <n v="9935.3799999999992"/>
    <n v="148.2893"/>
    <n v="178"/>
  </r>
  <r>
    <x v="4"/>
    <x v="3"/>
    <n v="64"/>
    <n v="9887.7000000000007"/>
    <n v="154.49529999999999"/>
    <n v="179"/>
  </r>
  <r>
    <x v="4"/>
    <x v="9"/>
    <n v="51"/>
    <n v="9876.09"/>
    <n v="193.64879999999999"/>
    <n v="180"/>
  </r>
  <r>
    <x v="15"/>
    <x v="16"/>
    <n v="51"/>
    <n v="9858.82"/>
    <n v="193.31020000000001"/>
    <n v="181"/>
  </r>
  <r>
    <x v="17"/>
    <x v="1"/>
    <n v="62"/>
    <n v="9806.16"/>
    <n v="158.16390000000001"/>
    <n v="182"/>
  </r>
  <r>
    <x v="16"/>
    <x v="5"/>
    <n v="71"/>
    <n v="9771.0300000000007"/>
    <n v="137.62010000000001"/>
    <n v="183"/>
  </r>
  <r>
    <x v="6"/>
    <x v="24"/>
    <n v="40"/>
    <n v="9764.8799999999992"/>
    <n v="244.12200000000001"/>
    <n v="184"/>
  </r>
  <r>
    <x v="12"/>
    <x v="23"/>
    <n v="52"/>
    <n v="9764.7000000000007"/>
    <n v="187.78270000000001"/>
    <n v="185"/>
  </r>
  <r>
    <x v="12"/>
    <x v="27"/>
    <n v="51"/>
    <n v="9754.6"/>
    <n v="191.26669999999999"/>
    <n v="186"/>
  </r>
  <r>
    <x v="3"/>
    <x v="9"/>
    <n v="59"/>
    <n v="9754.56"/>
    <n v="165.33150000000001"/>
    <n v="187"/>
  </r>
  <r>
    <x v="14"/>
    <x v="1"/>
    <n v="82"/>
    <n v="9711.7199999999993"/>
    <n v="118.43559999999999"/>
    <n v="188"/>
  </r>
  <r>
    <x v="1"/>
    <x v="46"/>
    <n v="61"/>
    <n v="9680.14"/>
    <n v="158.6908"/>
    <n v="189"/>
  </r>
  <r>
    <x v="7"/>
    <x v="5"/>
    <n v="60"/>
    <n v="9660.58"/>
    <n v="161.00970000000001"/>
    <n v="190"/>
  </r>
  <r>
    <x v="17"/>
    <x v="9"/>
    <n v="63"/>
    <n v="9649.98"/>
    <n v="153.17429999999999"/>
    <n v="191"/>
  </r>
  <r>
    <x v="11"/>
    <x v="7"/>
    <n v="75"/>
    <n v="9570.9699999999993"/>
    <n v="127.6129"/>
    <n v="192"/>
  </r>
  <r>
    <x v="11"/>
    <x v="8"/>
    <n v="78"/>
    <n v="9557.23"/>
    <n v="122.5286"/>
    <n v="193"/>
  </r>
  <r>
    <x v="14"/>
    <x v="32"/>
    <n v="58"/>
    <n v="9552.39"/>
    <n v="164.69640000000001"/>
    <n v="194"/>
  </r>
  <r>
    <x v="5"/>
    <x v="8"/>
    <n v="74"/>
    <n v="9521.84"/>
    <n v="128.67349999999999"/>
    <n v="195"/>
  </r>
  <r>
    <x v="3"/>
    <x v="8"/>
    <n v="63"/>
    <n v="9500.68"/>
    <n v="150.80439999999999"/>
    <n v="196"/>
  </r>
  <r>
    <x v="14"/>
    <x v="14"/>
    <n v="38"/>
    <n v="9499.69"/>
    <n v="249.99180000000001"/>
    <n v="197"/>
  </r>
  <r>
    <x v="3"/>
    <x v="40"/>
    <n v="36"/>
    <n v="9487.2000000000007"/>
    <n v="263.5333"/>
    <n v="198"/>
  </r>
  <r>
    <x v="12"/>
    <x v="7"/>
    <n v="63"/>
    <n v="9479.9699999999993"/>
    <n v="150.47569999999999"/>
    <n v="199"/>
  </r>
  <r>
    <x v="6"/>
    <x v="28"/>
    <n v="39"/>
    <n v="9468.2800000000007"/>
    <n v="242.7764"/>
    <n v="200"/>
  </r>
  <r>
    <x v="14"/>
    <x v="33"/>
    <n v="56"/>
    <n v="9441.2199999999993"/>
    <n v="168.5932"/>
    <n v="201"/>
  </r>
  <r>
    <x v="2"/>
    <x v="7"/>
    <n v="45"/>
    <n v="9413.8799999999992"/>
    <n v="209.19730000000001"/>
    <n v="202"/>
  </r>
  <r>
    <x v="15"/>
    <x v="3"/>
    <n v="64"/>
    <n v="9410.99"/>
    <n v="147.04669999999999"/>
    <n v="203"/>
  </r>
  <r>
    <x v="14"/>
    <x v="4"/>
    <n v="63"/>
    <n v="9389.49"/>
    <n v="149.0395"/>
    <n v="204"/>
  </r>
  <r>
    <x v="3"/>
    <x v="41"/>
    <n v="34"/>
    <n v="9388.94"/>
    <n v="276.14530000000002"/>
    <n v="205"/>
  </r>
  <r>
    <x v="14"/>
    <x v="16"/>
    <n v="36"/>
    <n v="9350.1299999999992"/>
    <n v="259.72579999999999"/>
    <n v="206"/>
  </r>
  <r>
    <x v="6"/>
    <x v="19"/>
    <n v="50"/>
    <n v="9342.7000000000007"/>
    <n v="186.85400000000001"/>
    <n v="207"/>
  </r>
  <r>
    <x v="5"/>
    <x v="32"/>
    <n v="49"/>
    <n v="9342.52"/>
    <n v="190.66370000000001"/>
    <n v="208"/>
  </r>
  <r>
    <x v="7"/>
    <x v="34"/>
    <n v="47"/>
    <n v="9305.31"/>
    <n v="197.9853"/>
    <n v="209"/>
  </r>
  <r>
    <x v="8"/>
    <x v="7"/>
    <n v="65"/>
    <n v="9286.1299999999992"/>
    <n v="142.86349999999999"/>
    <n v="210"/>
  </r>
  <r>
    <x v="7"/>
    <x v="2"/>
    <n v="66"/>
    <n v="9278.92"/>
    <n v="140.58969999999999"/>
    <n v="211"/>
  </r>
  <r>
    <x v="7"/>
    <x v="36"/>
    <n v="45"/>
    <n v="9269.57"/>
    <n v="205.99039999999999"/>
    <n v="212"/>
  </r>
  <r>
    <x v="2"/>
    <x v="14"/>
    <n v="52"/>
    <n v="9251.08"/>
    <n v="177.90539999999999"/>
    <n v="213"/>
  </r>
  <r>
    <x v="2"/>
    <x v="16"/>
    <n v="51"/>
    <n v="9239.08"/>
    <n v="181.1584"/>
    <n v="214"/>
  </r>
  <r>
    <x v="10"/>
    <x v="2"/>
    <n v="70"/>
    <n v="9209.44"/>
    <n v="131.5634"/>
    <n v="215"/>
  </r>
  <r>
    <x v="1"/>
    <x v="47"/>
    <n v="48"/>
    <n v="9203.65"/>
    <n v="191.74270000000001"/>
    <n v="216"/>
  </r>
  <r>
    <x v="9"/>
    <x v="8"/>
    <n v="65"/>
    <n v="9165.75"/>
    <n v="141.01150000000001"/>
    <n v="217"/>
  </r>
  <r>
    <x v="3"/>
    <x v="1"/>
    <n v="75"/>
    <n v="9160.11"/>
    <n v="122.1348"/>
    <n v="218"/>
  </r>
  <r>
    <x v="5"/>
    <x v="33"/>
    <n v="46"/>
    <n v="9155.92"/>
    <n v="199.04169999999999"/>
    <n v="219"/>
  </r>
  <r>
    <x v="17"/>
    <x v="8"/>
    <n v="53"/>
    <n v="9129.25"/>
    <n v="172.25"/>
    <n v="220"/>
  </r>
  <r>
    <x v="13"/>
    <x v="1"/>
    <n v="65"/>
    <n v="9106.48"/>
    <n v="140.09970000000001"/>
    <n v="221"/>
  </r>
  <r>
    <x v="2"/>
    <x v="10"/>
    <n v="77"/>
    <n v="9071.02"/>
    <n v="117.80549999999999"/>
    <n v="222"/>
  </r>
  <r>
    <x v="11"/>
    <x v="9"/>
    <n v="57"/>
    <n v="9017.08"/>
    <n v="158.1944"/>
    <n v="223"/>
  </r>
  <r>
    <x v="11"/>
    <x v="12"/>
    <n v="51"/>
    <n v="9012.16"/>
    <n v="176.709"/>
    <n v="224"/>
  </r>
  <r>
    <x v="11"/>
    <x v="13"/>
    <n v="51"/>
    <n v="9012.16"/>
    <n v="176.709"/>
    <n v="224"/>
  </r>
  <r>
    <x v="16"/>
    <x v="12"/>
    <n v="45"/>
    <n v="9006.26"/>
    <n v="200.13910000000001"/>
    <n v="226"/>
  </r>
  <r>
    <x v="16"/>
    <x v="13"/>
    <n v="45"/>
    <n v="9006.26"/>
    <n v="200.13910000000001"/>
    <n v="226"/>
  </r>
  <r>
    <x v="12"/>
    <x v="3"/>
    <n v="63"/>
    <n v="8981.61"/>
    <n v="142.5652"/>
    <n v="228"/>
  </r>
  <r>
    <x v="15"/>
    <x v="35"/>
    <n v="39"/>
    <n v="8888.59"/>
    <n v="227.9126"/>
    <n v="229"/>
  </r>
  <r>
    <x v="15"/>
    <x v="31"/>
    <n v="39"/>
    <n v="8888.59"/>
    <n v="227.9126"/>
    <n v="229"/>
  </r>
  <r>
    <x v="9"/>
    <x v="34"/>
    <n v="53"/>
    <n v="8849.6299999999992"/>
    <n v="166.9742"/>
    <n v="231"/>
  </r>
  <r>
    <x v="11"/>
    <x v="4"/>
    <n v="68"/>
    <n v="8750.4699999999993"/>
    <n v="128.68340000000001"/>
    <n v="232"/>
  </r>
  <r>
    <x v="1"/>
    <x v="14"/>
    <n v="80"/>
    <n v="8672.34"/>
    <n v="108.40430000000001"/>
    <n v="233"/>
  </r>
  <r>
    <x v="6"/>
    <x v="8"/>
    <n v="61"/>
    <n v="8665.4699999999993"/>
    <n v="142.05690000000001"/>
    <n v="234"/>
  </r>
  <r>
    <x v="3"/>
    <x v="34"/>
    <n v="52"/>
    <n v="8635.93"/>
    <n v="166.07560000000001"/>
    <n v="235"/>
  </r>
  <r>
    <x v="12"/>
    <x v="5"/>
    <n v="68"/>
    <n v="8626.59"/>
    <n v="126.8616"/>
    <n v="236"/>
  </r>
  <r>
    <x v="14"/>
    <x v="19"/>
    <n v="52"/>
    <n v="8621.5400000000009"/>
    <n v="165.7988"/>
    <n v="237"/>
  </r>
  <r>
    <x v="1"/>
    <x v="16"/>
    <n v="78"/>
    <n v="8575.6200000000008"/>
    <n v="109.9438"/>
    <n v="238"/>
  </r>
  <r>
    <x v="1"/>
    <x v="45"/>
    <n v="43"/>
    <n v="8544.25"/>
    <n v="198.70349999999999"/>
    <n v="239"/>
  </r>
  <r>
    <x v="1"/>
    <x v="19"/>
    <n v="93"/>
    <n v="8531.4500000000007"/>
    <n v="91.736000000000004"/>
    <n v="240"/>
  </r>
  <r>
    <x v="6"/>
    <x v="29"/>
    <n v="34"/>
    <n v="8522.02"/>
    <n v="250.64760000000001"/>
    <n v="241"/>
  </r>
  <r>
    <x v="4"/>
    <x v="34"/>
    <n v="38"/>
    <n v="8518.59"/>
    <n v="224.17339999999999"/>
    <n v="242"/>
  </r>
  <r>
    <x v="4"/>
    <x v="36"/>
    <n v="38"/>
    <n v="8518.59"/>
    <n v="224.17339999999999"/>
    <n v="242"/>
  </r>
  <r>
    <x v="17"/>
    <x v="3"/>
    <n v="66"/>
    <n v="8512.84"/>
    <n v="128.98240000000001"/>
    <n v="244"/>
  </r>
  <r>
    <x v="6"/>
    <x v="40"/>
    <n v="32"/>
    <n v="8511.25"/>
    <n v="265.97660000000002"/>
    <n v="245"/>
  </r>
  <r>
    <x v="11"/>
    <x v="15"/>
    <n v="42"/>
    <n v="8501.98"/>
    <n v="202.4281"/>
    <n v="246"/>
  </r>
  <r>
    <x v="5"/>
    <x v="10"/>
    <n v="90"/>
    <n v="8463.9500000000007"/>
    <n v="94.043899999999994"/>
    <n v="247"/>
  </r>
  <r>
    <x v="5"/>
    <x v="5"/>
    <n v="62"/>
    <n v="8414.74"/>
    <n v="135.7216"/>
    <n v="248"/>
  </r>
  <r>
    <x v="6"/>
    <x v="32"/>
    <n v="58"/>
    <n v="8410.56"/>
    <n v="145.00970000000001"/>
    <n v="249"/>
  </r>
  <r>
    <x v="7"/>
    <x v="6"/>
    <n v="82"/>
    <n v="8396.75"/>
    <n v="102.3994"/>
    <n v="250"/>
  </r>
  <r>
    <x v="5"/>
    <x v="11"/>
    <n v="75"/>
    <n v="8363.5300000000007"/>
    <n v="111.5137"/>
    <n v="251"/>
  </r>
  <r>
    <x v="10"/>
    <x v="26"/>
    <n v="30"/>
    <n v="8318.25"/>
    <n v="277.27499999999998"/>
    <n v="252"/>
  </r>
  <r>
    <x v="11"/>
    <x v="17"/>
    <n v="41"/>
    <n v="8313.7800000000007"/>
    <n v="202.77510000000001"/>
    <n v="253"/>
  </r>
  <r>
    <x v="6"/>
    <x v="30"/>
    <n v="32"/>
    <n v="8294.0300000000007"/>
    <n v="259.1884"/>
    <n v="254"/>
  </r>
  <r>
    <x v="7"/>
    <x v="3"/>
    <n v="54"/>
    <n v="8266.07"/>
    <n v="153.0754"/>
    <n v="255"/>
  </r>
  <r>
    <x v="17"/>
    <x v="2"/>
    <n v="62"/>
    <n v="8260.6200000000008"/>
    <n v="133.23580000000001"/>
    <n v="256"/>
  </r>
  <r>
    <x v="9"/>
    <x v="5"/>
    <n v="56"/>
    <n v="8258.0400000000009"/>
    <n v="147.465"/>
    <n v="257"/>
  </r>
  <r>
    <x v="15"/>
    <x v="19"/>
    <n v="51"/>
    <n v="8229.16"/>
    <n v="161.3561"/>
    <n v="258"/>
  </r>
  <r>
    <x v="6"/>
    <x v="33"/>
    <n v="56"/>
    <n v="8182.57"/>
    <n v="146.1173"/>
    <n v="259"/>
  </r>
  <r>
    <x v="10"/>
    <x v="34"/>
    <n v="50"/>
    <n v="8138.98"/>
    <n v="162.77959999999999"/>
    <n v="260"/>
  </r>
  <r>
    <x v="16"/>
    <x v="7"/>
    <n v="67"/>
    <n v="8138.44"/>
    <n v="121.4693"/>
    <n v="261"/>
  </r>
  <r>
    <x v="5"/>
    <x v="27"/>
    <n v="45"/>
    <n v="8136.62"/>
    <n v="180.81379999999999"/>
    <n v="262"/>
  </r>
  <r>
    <x v="5"/>
    <x v="23"/>
    <n v="45"/>
    <n v="8136.62"/>
    <n v="180.81379999999999"/>
    <n v="262"/>
  </r>
  <r>
    <x v="9"/>
    <x v="9"/>
    <n v="66"/>
    <n v="8125.58"/>
    <n v="123.1148"/>
    <n v="264"/>
  </r>
  <r>
    <x v="5"/>
    <x v="16"/>
    <n v="36"/>
    <n v="8107.14"/>
    <n v="225.19829999999999"/>
    <n v="265"/>
  </r>
  <r>
    <x v="5"/>
    <x v="14"/>
    <n v="36"/>
    <n v="8107.14"/>
    <n v="225.19829999999999"/>
    <n v="265"/>
  </r>
  <r>
    <x v="4"/>
    <x v="11"/>
    <n v="90"/>
    <n v="8104.71"/>
    <n v="90.052300000000002"/>
    <n v="267"/>
  </r>
  <r>
    <x v="12"/>
    <x v="6"/>
    <n v="99"/>
    <n v="8101.73"/>
    <n v="81.835700000000003"/>
    <n v="268"/>
  </r>
  <r>
    <x v="10"/>
    <x v="36"/>
    <n v="49"/>
    <n v="8077.84"/>
    <n v="164.85390000000001"/>
    <n v="269"/>
  </r>
  <r>
    <x v="14"/>
    <x v="29"/>
    <n v="37"/>
    <n v="8061.47"/>
    <n v="217.8776"/>
    <n v="270"/>
  </r>
  <r>
    <x v="8"/>
    <x v="11"/>
    <n v="89"/>
    <n v="8024.43"/>
    <n v="90.162099999999995"/>
    <n v="271"/>
  </r>
  <r>
    <x v="9"/>
    <x v="14"/>
    <n v="37"/>
    <n v="7982.92"/>
    <n v="215.75460000000001"/>
    <n v="272"/>
  </r>
  <r>
    <x v="9"/>
    <x v="16"/>
    <n v="36"/>
    <n v="7976.9"/>
    <n v="221.5806"/>
    <n v="273"/>
  </r>
  <r>
    <x v="7"/>
    <x v="23"/>
    <n v="46"/>
    <n v="7970.06"/>
    <n v="173.26220000000001"/>
    <n v="274"/>
  </r>
  <r>
    <x v="9"/>
    <x v="11"/>
    <n v="81"/>
    <n v="7955.56"/>
    <n v="98.216800000000006"/>
    <n v="275"/>
  </r>
  <r>
    <x v="14"/>
    <x v="30"/>
    <n v="35"/>
    <n v="7950.3"/>
    <n v="227.1514"/>
    <n v="276"/>
  </r>
  <r>
    <x v="2"/>
    <x v="32"/>
    <n v="44"/>
    <n v="7941.94"/>
    <n v="180.49860000000001"/>
    <n v="277"/>
  </r>
  <r>
    <x v="17"/>
    <x v="14"/>
    <n v="40"/>
    <n v="7924.85"/>
    <n v="198.12129999999999"/>
    <n v="278"/>
  </r>
  <r>
    <x v="1"/>
    <x v="44"/>
    <n v="58"/>
    <n v="7922.74"/>
    <n v="136.59899999999999"/>
    <n v="279"/>
  </r>
  <r>
    <x v="2"/>
    <x v="3"/>
    <n v="72"/>
    <n v="7908.68"/>
    <n v="109.8428"/>
    <n v="280"/>
  </r>
  <r>
    <x v="2"/>
    <x v="33"/>
    <n v="42"/>
    <n v="7908.55"/>
    <n v="188.2988"/>
    <n v="281"/>
  </r>
  <r>
    <x v="17"/>
    <x v="16"/>
    <n v="38"/>
    <n v="7877.25"/>
    <n v="207.2961"/>
    <n v="282"/>
  </r>
  <r>
    <x v="17"/>
    <x v="19"/>
    <n v="49"/>
    <n v="7872.79"/>
    <n v="160.66919999999999"/>
    <n v="283"/>
  </r>
  <r>
    <x v="2"/>
    <x v="4"/>
    <n v="68"/>
    <n v="7857.97"/>
    <n v="115.55840000000001"/>
    <n v="284"/>
  </r>
  <r>
    <x v="6"/>
    <x v="10"/>
    <n v="68"/>
    <n v="7847.76"/>
    <n v="115.40819999999999"/>
    <n v="285"/>
  </r>
  <r>
    <x v="9"/>
    <x v="7"/>
    <n v="68"/>
    <n v="7840.68"/>
    <n v="115.30410000000001"/>
    <n v="286"/>
  </r>
  <r>
    <x v="6"/>
    <x v="14"/>
    <n v="46"/>
    <n v="7829.59"/>
    <n v="170.20849999999999"/>
    <n v="287"/>
  </r>
  <r>
    <x v="2"/>
    <x v="2"/>
    <n v="65"/>
    <n v="7828.46"/>
    <n v="120.4378"/>
    <n v="288"/>
  </r>
  <r>
    <x v="13"/>
    <x v="32"/>
    <n v="43"/>
    <n v="7822.04"/>
    <n v="181.90790000000001"/>
    <n v="289"/>
  </r>
  <r>
    <x v="5"/>
    <x v="7"/>
    <n v="50"/>
    <n v="7813.95"/>
    <n v="156.279"/>
    <n v="290"/>
  </r>
  <r>
    <x v="2"/>
    <x v="11"/>
    <n v="93"/>
    <n v="7809.5"/>
    <n v="83.973100000000002"/>
    <n v="291"/>
  </r>
  <r>
    <x v="12"/>
    <x v="9"/>
    <n v="57"/>
    <n v="7793.42"/>
    <n v="136.72669999999999"/>
    <n v="292"/>
  </r>
  <r>
    <x v="3"/>
    <x v="10"/>
    <n v="79"/>
    <n v="7788.6"/>
    <n v="98.5899"/>
    <n v="293"/>
  </r>
  <r>
    <x v="13"/>
    <x v="33"/>
    <n v="41"/>
    <n v="7788.02"/>
    <n v="189.95169999999999"/>
    <n v="294"/>
  </r>
  <r>
    <x v="7"/>
    <x v="27"/>
    <n v="44"/>
    <n v="7777.71"/>
    <n v="176.76609999999999"/>
    <n v="295"/>
  </r>
  <r>
    <x v="14"/>
    <x v="20"/>
    <n v="45"/>
    <n v="7757.84"/>
    <n v="172.3964"/>
    <n v="296"/>
  </r>
  <r>
    <x v="4"/>
    <x v="24"/>
    <n v="43"/>
    <n v="7742.08"/>
    <n v="180.04839999999999"/>
    <n v="297"/>
  </r>
  <r>
    <x v="13"/>
    <x v="15"/>
    <n v="53"/>
    <n v="7739.94"/>
    <n v="146.03659999999999"/>
    <n v="298"/>
  </r>
  <r>
    <x v="10"/>
    <x v="12"/>
    <n v="43"/>
    <n v="7695.92"/>
    <n v="178.97489999999999"/>
    <n v="299"/>
  </r>
  <r>
    <x v="10"/>
    <x v="13"/>
    <n v="43"/>
    <n v="7695.92"/>
    <n v="178.97489999999999"/>
    <n v="299"/>
  </r>
  <r>
    <x v="1"/>
    <x v="20"/>
    <n v="89"/>
    <n v="7687.03"/>
    <n v="86.371099999999998"/>
    <n v="301"/>
  </r>
  <r>
    <x v="11"/>
    <x v="23"/>
    <n v="48"/>
    <n v="7683.09"/>
    <n v="160.06440000000001"/>
    <n v="302"/>
  </r>
  <r>
    <x v="13"/>
    <x v="6"/>
    <n v="83"/>
    <n v="7650.27"/>
    <n v="92.171899999999994"/>
    <n v="303"/>
  </r>
  <r>
    <x v="13"/>
    <x v="11"/>
    <n v="94"/>
    <n v="7648.43"/>
    <n v="81.366299999999995"/>
    <n v="304"/>
  </r>
  <r>
    <x v="6"/>
    <x v="2"/>
    <n v="67"/>
    <n v="7636"/>
    <n v="113.9701"/>
    <n v="305"/>
  </r>
  <r>
    <x v="6"/>
    <x v="20"/>
    <n v="44"/>
    <n v="7626.62"/>
    <n v="173.3323"/>
    <n v="306"/>
  </r>
  <r>
    <x v="14"/>
    <x v="45"/>
    <n v="33"/>
    <n v="7625.27"/>
    <n v="231.06880000000001"/>
    <n v="307"/>
  </r>
  <r>
    <x v="8"/>
    <x v="34"/>
    <n v="55"/>
    <n v="7615.79"/>
    <n v="138.46889999999999"/>
    <n v="308"/>
  </r>
  <r>
    <x v="8"/>
    <x v="36"/>
    <n v="54"/>
    <n v="7591.51"/>
    <n v="140.58349999999999"/>
    <n v="309"/>
  </r>
  <r>
    <x v="13"/>
    <x v="17"/>
    <n v="51"/>
    <n v="7575.18"/>
    <n v="148.53290000000001"/>
    <n v="310"/>
  </r>
  <r>
    <x v="12"/>
    <x v="34"/>
    <n v="52"/>
    <n v="7555.81"/>
    <n v="145.304"/>
    <n v="311"/>
  </r>
  <r>
    <x v="4"/>
    <x v="47"/>
    <n v="33"/>
    <n v="7549.83"/>
    <n v="228.78270000000001"/>
    <n v="312"/>
  </r>
  <r>
    <x v="10"/>
    <x v="11"/>
    <n v="79"/>
    <n v="7543.51"/>
    <n v="95.487499999999997"/>
    <n v="313"/>
  </r>
  <r>
    <x v="6"/>
    <x v="16"/>
    <n v="45"/>
    <n v="7532.99"/>
    <n v="167.3998"/>
    <n v="314"/>
  </r>
  <r>
    <x v="4"/>
    <x v="8"/>
    <n v="69"/>
    <n v="7523.79"/>
    <n v="109.04040000000001"/>
    <n v="315"/>
  </r>
  <r>
    <x v="11"/>
    <x v="27"/>
    <n v="47"/>
    <n v="7494.89"/>
    <n v="159.4657"/>
    <n v="316"/>
  </r>
  <r>
    <x v="12"/>
    <x v="21"/>
    <n v="42"/>
    <n v="7475.28"/>
    <n v="177.9829"/>
    <n v="317"/>
  </r>
  <r>
    <x v="12"/>
    <x v="22"/>
    <n v="42"/>
    <n v="7475.28"/>
    <n v="177.9829"/>
    <n v="317"/>
  </r>
  <r>
    <x v="10"/>
    <x v="10"/>
    <n v="84"/>
    <n v="7418.24"/>
    <n v="88.312399999999997"/>
    <n v="319"/>
  </r>
  <r>
    <x v="7"/>
    <x v="40"/>
    <n v="48"/>
    <n v="7408.15"/>
    <n v="154.3365"/>
    <n v="320"/>
  </r>
  <r>
    <x v="15"/>
    <x v="1"/>
    <n v="73"/>
    <n v="7378.45"/>
    <n v="101.07470000000001"/>
    <n v="321"/>
  </r>
  <r>
    <x v="6"/>
    <x v="9"/>
    <n v="47"/>
    <n v="7373.55"/>
    <n v="156.88399999999999"/>
    <n v="322"/>
  </r>
  <r>
    <x v="14"/>
    <x v="11"/>
    <n v="82"/>
    <n v="7368.41"/>
    <n v="89.858699999999999"/>
    <n v="323"/>
  </r>
  <r>
    <x v="4"/>
    <x v="28"/>
    <n v="40"/>
    <n v="7348.28"/>
    <n v="183.70699999999999"/>
    <n v="324"/>
  </r>
  <r>
    <x v="5"/>
    <x v="25"/>
    <n v="37"/>
    <n v="7322.53"/>
    <n v="197.90620000000001"/>
    <n v="325"/>
  </r>
  <r>
    <x v="7"/>
    <x v="41"/>
    <n v="45"/>
    <n v="7318.09"/>
    <n v="162.6242"/>
    <n v="326"/>
  </r>
  <r>
    <x v="0"/>
    <x v="43"/>
    <n v="94"/>
    <n v="7308.3"/>
    <n v="77.747900000000001"/>
    <n v="327"/>
  </r>
  <r>
    <x v="13"/>
    <x v="5"/>
    <n v="69"/>
    <n v="7302.71"/>
    <n v="105.8364"/>
    <n v="328"/>
  </r>
  <r>
    <x v="9"/>
    <x v="31"/>
    <n v="42"/>
    <n v="7250.68"/>
    <n v="172.6352"/>
    <n v="329"/>
  </r>
  <r>
    <x v="5"/>
    <x v="47"/>
    <n v="32"/>
    <n v="7233.9"/>
    <n v="226.05940000000001"/>
    <n v="330"/>
  </r>
  <r>
    <x v="4"/>
    <x v="40"/>
    <n v="47"/>
    <n v="7233.76"/>
    <n v="153.90979999999999"/>
    <n v="331"/>
  </r>
  <r>
    <x v="9"/>
    <x v="1"/>
    <n v="52"/>
    <n v="7225.77"/>
    <n v="138.9571"/>
    <n v="332"/>
  </r>
  <r>
    <x v="16"/>
    <x v="21"/>
    <n v="56"/>
    <n v="7217.72"/>
    <n v="128.8879"/>
    <n v="333"/>
  </r>
  <r>
    <x v="16"/>
    <x v="22"/>
    <n v="56"/>
    <n v="7217.72"/>
    <n v="128.8879"/>
    <n v="333"/>
  </r>
  <r>
    <x v="2"/>
    <x v="24"/>
    <n v="43"/>
    <n v="7193"/>
    <n v="167.2791"/>
    <n v="335"/>
  </r>
  <r>
    <x v="15"/>
    <x v="10"/>
    <n v="85"/>
    <n v="7184.17"/>
    <n v="84.519599999999997"/>
    <n v="336"/>
  </r>
  <r>
    <x v="2"/>
    <x v="28"/>
    <n v="42"/>
    <n v="7181"/>
    <n v="170.97620000000001"/>
    <n v="337"/>
  </r>
  <r>
    <x v="1"/>
    <x v="26"/>
    <n v="55"/>
    <n v="7175.4"/>
    <n v="130.46180000000001"/>
    <n v="338"/>
  </r>
  <r>
    <x v="17"/>
    <x v="20"/>
    <n v="45"/>
    <n v="7172.52"/>
    <n v="159.38929999999999"/>
    <n v="339"/>
  </r>
  <r>
    <x v="5"/>
    <x v="9"/>
    <n v="55"/>
    <n v="7149.19"/>
    <n v="129.9853"/>
    <n v="340"/>
  </r>
  <r>
    <x v="13"/>
    <x v="8"/>
    <n v="67"/>
    <n v="7147.48"/>
    <n v="106.6788"/>
    <n v="341"/>
  </r>
  <r>
    <x v="9"/>
    <x v="36"/>
    <n v="50"/>
    <n v="7094.03"/>
    <n v="141.88059999999999"/>
    <n v="342"/>
  </r>
  <r>
    <x v="17"/>
    <x v="7"/>
    <n v="52"/>
    <n v="7092.19"/>
    <n v="136.38829999999999"/>
    <n v="343"/>
  </r>
  <r>
    <x v="13"/>
    <x v="35"/>
    <n v="45"/>
    <n v="7091.41"/>
    <n v="157.58690000000001"/>
    <n v="344"/>
  </r>
  <r>
    <x v="13"/>
    <x v="31"/>
    <n v="45"/>
    <n v="7091.41"/>
    <n v="157.58690000000001"/>
    <n v="344"/>
  </r>
  <r>
    <x v="8"/>
    <x v="44"/>
    <n v="29"/>
    <n v="7089.67"/>
    <n v="244.47139999999999"/>
    <n v="346"/>
  </r>
  <r>
    <x v="14"/>
    <x v="23"/>
    <n v="41"/>
    <n v="7053.97"/>
    <n v="172.048"/>
    <n v="347"/>
  </r>
  <r>
    <x v="14"/>
    <x v="21"/>
    <n v="49"/>
    <n v="7043.22"/>
    <n v="143.73920000000001"/>
    <n v="348"/>
  </r>
  <r>
    <x v="14"/>
    <x v="22"/>
    <n v="49"/>
    <n v="7043.22"/>
    <n v="143.73920000000001"/>
    <n v="348"/>
  </r>
  <r>
    <x v="9"/>
    <x v="3"/>
    <n v="69"/>
    <n v="7031.13"/>
    <n v="101.9004"/>
    <n v="350"/>
  </r>
  <r>
    <x v="14"/>
    <x v="27"/>
    <n v="40"/>
    <n v="7022.08"/>
    <n v="175.55199999999999"/>
    <n v="351"/>
  </r>
  <r>
    <x v="5"/>
    <x v="35"/>
    <n v="49"/>
    <n v="6976.33"/>
    <n v="142.3741"/>
    <n v="352"/>
  </r>
  <r>
    <x v="5"/>
    <x v="31"/>
    <n v="49"/>
    <n v="6976.33"/>
    <n v="142.3741"/>
    <n v="352"/>
  </r>
  <r>
    <x v="6"/>
    <x v="41"/>
    <n v="27"/>
    <n v="6960.67"/>
    <n v="257.80259999999998"/>
    <n v="354"/>
  </r>
  <r>
    <x v="11"/>
    <x v="10"/>
    <n v="86"/>
    <n v="6947.08"/>
    <n v="80.78"/>
    <n v="355"/>
  </r>
  <r>
    <x v="11"/>
    <x v="37"/>
    <n v="38"/>
    <n v="6946.48"/>
    <n v="182.8021"/>
    <n v="356"/>
  </r>
  <r>
    <x v="9"/>
    <x v="24"/>
    <n v="40"/>
    <n v="6946.05"/>
    <n v="173.65129999999999"/>
    <n v="357"/>
  </r>
  <r>
    <x v="9"/>
    <x v="28"/>
    <n v="39"/>
    <n v="6940.03"/>
    <n v="177.9495"/>
    <n v="358"/>
  </r>
  <r>
    <x v="15"/>
    <x v="2"/>
    <n v="73"/>
    <n v="6922.91"/>
    <n v="94.834400000000002"/>
    <n v="359"/>
  </r>
  <r>
    <x v="13"/>
    <x v="10"/>
    <n v="75"/>
    <n v="6893.88"/>
    <n v="91.918400000000005"/>
    <n v="360"/>
  </r>
  <r>
    <x v="13"/>
    <x v="9"/>
    <n v="55"/>
    <n v="6866.27"/>
    <n v="124.8413"/>
    <n v="361"/>
  </r>
  <r>
    <x v="14"/>
    <x v="6"/>
    <n v="97"/>
    <n v="6845.76"/>
    <n v="70.574799999999996"/>
    <n v="362"/>
  </r>
  <r>
    <x v="12"/>
    <x v="36"/>
    <n v="50"/>
    <n v="6840.8"/>
    <n v="136.816"/>
    <n v="363"/>
  </r>
  <r>
    <x v="8"/>
    <x v="19"/>
    <n v="51"/>
    <n v="6810.61"/>
    <n v="133.54140000000001"/>
    <n v="364"/>
  </r>
  <r>
    <x v="11"/>
    <x v="6"/>
    <n v="98"/>
    <n v="6759.04"/>
    <n v="68.969800000000006"/>
    <n v="365"/>
  </r>
  <r>
    <x v="14"/>
    <x v="12"/>
    <n v="49"/>
    <n v="6733.22"/>
    <n v="137.4127"/>
    <n v="366"/>
  </r>
  <r>
    <x v="14"/>
    <x v="13"/>
    <n v="49"/>
    <n v="6733.22"/>
    <n v="137.4127"/>
    <n v="366"/>
  </r>
  <r>
    <x v="3"/>
    <x v="36"/>
    <n v="49"/>
    <n v="6715.59"/>
    <n v="137.05289999999999"/>
    <n v="368"/>
  </r>
  <r>
    <x v="16"/>
    <x v="39"/>
    <n v="22"/>
    <n v="6705.5"/>
    <n v="304.7955"/>
    <n v="369"/>
  </r>
  <r>
    <x v="16"/>
    <x v="23"/>
    <n v="38"/>
    <n v="6702.05"/>
    <n v="176.36969999999999"/>
    <n v="370"/>
  </r>
  <r>
    <x v="15"/>
    <x v="4"/>
    <n v="58"/>
    <n v="6701.19"/>
    <n v="115.5378"/>
    <n v="371"/>
  </r>
  <r>
    <x v="4"/>
    <x v="41"/>
    <n v="39"/>
    <n v="6694.34"/>
    <n v="171.6497"/>
    <n v="372"/>
  </r>
  <r>
    <x v="11"/>
    <x v="32"/>
    <n v="45"/>
    <n v="6668.73"/>
    <n v="148.19399999999999"/>
    <n v="373"/>
  </r>
  <r>
    <x v="16"/>
    <x v="27"/>
    <n v="37"/>
    <n v="6654.44"/>
    <n v="179.84970000000001"/>
    <n v="374"/>
  </r>
  <r>
    <x v="7"/>
    <x v="31"/>
    <n v="37"/>
    <n v="6653.45"/>
    <n v="179.82300000000001"/>
    <n v="375"/>
  </r>
  <r>
    <x v="5"/>
    <x v="1"/>
    <n v="52"/>
    <n v="6638.12"/>
    <n v="127.6562"/>
    <n v="376"/>
  </r>
  <r>
    <x v="9"/>
    <x v="4"/>
    <n v="57"/>
    <n v="6633.38"/>
    <n v="116.3751"/>
    <n v="377"/>
  </r>
  <r>
    <x v="7"/>
    <x v="39"/>
    <n v="30"/>
    <n v="6628.44"/>
    <n v="220.94800000000001"/>
    <n v="378"/>
  </r>
  <r>
    <x v="7"/>
    <x v="35"/>
    <n v="35"/>
    <n v="6617.71"/>
    <n v="189.07740000000001"/>
    <n v="379"/>
  </r>
  <r>
    <x v="8"/>
    <x v="12"/>
    <n v="47"/>
    <n v="6579.21"/>
    <n v="139.98320000000001"/>
    <n v="380"/>
  </r>
  <r>
    <x v="8"/>
    <x v="13"/>
    <n v="47"/>
    <n v="6579.21"/>
    <n v="139.98320000000001"/>
    <n v="380"/>
  </r>
  <r>
    <x v="5"/>
    <x v="3"/>
    <n v="45"/>
    <n v="6576.27"/>
    <n v="146.13929999999999"/>
    <n v="382"/>
  </r>
  <r>
    <x v="14"/>
    <x v="8"/>
    <n v="70"/>
    <n v="6557.67"/>
    <n v="93.680999999999997"/>
    <n v="383"/>
  </r>
  <r>
    <x v="6"/>
    <x v="26"/>
    <n v="27"/>
    <n v="6552.82"/>
    <n v="242.697"/>
    <n v="384"/>
  </r>
  <r>
    <x v="16"/>
    <x v="11"/>
    <n v="82"/>
    <n v="6548.26"/>
    <n v="79.856800000000007"/>
    <n v="385"/>
  </r>
  <r>
    <x v="16"/>
    <x v="26"/>
    <n v="28"/>
    <n v="6540.83"/>
    <n v="233.6011"/>
    <n v="386"/>
  </r>
  <r>
    <x v="12"/>
    <x v="24"/>
    <n v="41"/>
    <n v="6538.33"/>
    <n v="159.47149999999999"/>
    <n v="387"/>
  </r>
  <r>
    <x v="12"/>
    <x v="28"/>
    <n v="40"/>
    <n v="6525.2"/>
    <n v="163.13"/>
    <n v="388"/>
  </r>
  <r>
    <x v="14"/>
    <x v="44"/>
    <n v="31"/>
    <n v="6513.6"/>
    <n v="210.11609999999999"/>
    <n v="389"/>
  </r>
  <r>
    <x v="10"/>
    <x v="45"/>
    <n v="28"/>
    <n v="6501.92"/>
    <n v="232.2114"/>
    <n v="390"/>
  </r>
  <r>
    <x v="8"/>
    <x v="10"/>
    <n v="81"/>
    <n v="6498.49"/>
    <n v="80.228300000000004"/>
    <n v="391"/>
  </r>
  <r>
    <x v="8"/>
    <x v="21"/>
    <n v="45"/>
    <n v="6496.05"/>
    <n v="144.35669999999999"/>
    <n v="392"/>
  </r>
  <r>
    <x v="8"/>
    <x v="22"/>
    <n v="45"/>
    <n v="6496.05"/>
    <n v="144.35669999999999"/>
    <n v="392"/>
  </r>
  <r>
    <x v="11"/>
    <x v="47"/>
    <n v="29"/>
    <n v="6478.18"/>
    <n v="223.38550000000001"/>
    <n v="394"/>
  </r>
  <r>
    <x v="11"/>
    <x v="45"/>
    <n v="32"/>
    <n v="6467.13"/>
    <n v="202.09780000000001"/>
    <n v="395"/>
  </r>
  <r>
    <x v="17"/>
    <x v="4"/>
    <n v="61"/>
    <n v="6466.38"/>
    <n v="106.00620000000001"/>
    <n v="396"/>
  </r>
  <r>
    <x v="10"/>
    <x v="21"/>
    <n v="42"/>
    <n v="6451.46"/>
    <n v="153.6062"/>
    <n v="397"/>
  </r>
  <r>
    <x v="10"/>
    <x v="22"/>
    <n v="42"/>
    <n v="6451.46"/>
    <n v="153.6062"/>
    <n v="397"/>
  </r>
  <r>
    <x v="1"/>
    <x v="37"/>
    <n v="53"/>
    <n v="6435.94"/>
    <n v="121.4328"/>
    <n v="399"/>
  </r>
  <r>
    <x v="3"/>
    <x v="12"/>
    <n v="57"/>
    <n v="6433.94"/>
    <n v="112.87609999999999"/>
    <n v="400"/>
  </r>
  <r>
    <x v="3"/>
    <x v="13"/>
    <n v="57"/>
    <n v="6433.94"/>
    <n v="112.87609999999999"/>
    <n v="400"/>
  </r>
  <r>
    <x v="2"/>
    <x v="21"/>
    <n v="36"/>
    <n v="6419.95"/>
    <n v="178.33189999999999"/>
    <n v="402"/>
  </r>
  <r>
    <x v="2"/>
    <x v="22"/>
    <n v="36"/>
    <n v="6419.95"/>
    <n v="178.33189999999999"/>
    <n v="402"/>
  </r>
  <r>
    <x v="11"/>
    <x v="33"/>
    <n v="42"/>
    <n v="6382.4"/>
    <n v="151.96190000000001"/>
    <n v="404"/>
  </r>
  <r>
    <x v="4"/>
    <x v="6"/>
    <n v="87"/>
    <n v="6351.19"/>
    <n v="73.002200000000002"/>
    <n v="405"/>
  </r>
  <r>
    <x v="12"/>
    <x v="8"/>
    <n v="53"/>
    <n v="6337.41"/>
    <n v="119.57380000000001"/>
    <n v="406"/>
  </r>
  <r>
    <x v="8"/>
    <x v="43"/>
    <n v="29"/>
    <n v="6329.77"/>
    <n v="218.2679"/>
    <n v="407"/>
  </r>
  <r>
    <x v="13"/>
    <x v="40"/>
    <n v="42"/>
    <n v="6329.45"/>
    <n v="150.7012"/>
    <n v="408"/>
  </r>
  <r>
    <x v="7"/>
    <x v="11"/>
    <n v="81"/>
    <n v="6292.32"/>
    <n v="77.683000000000007"/>
    <n v="409"/>
  </r>
  <r>
    <x v="3"/>
    <x v="27"/>
    <n v="46"/>
    <n v="6269.37"/>
    <n v="136.29069999999999"/>
    <n v="410"/>
  </r>
  <r>
    <x v="3"/>
    <x v="23"/>
    <n v="46"/>
    <n v="6269.37"/>
    <n v="136.29069999999999"/>
    <n v="410"/>
  </r>
  <r>
    <x v="16"/>
    <x v="6"/>
    <n v="86"/>
    <n v="6265.83"/>
    <n v="72.858500000000006"/>
    <n v="412"/>
  </r>
  <r>
    <x v="17"/>
    <x v="21"/>
    <n v="41"/>
    <n v="6264.7"/>
    <n v="152.79759999999999"/>
    <n v="413"/>
  </r>
  <r>
    <x v="17"/>
    <x v="22"/>
    <n v="41"/>
    <n v="6264.7"/>
    <n v="152.79759999999999"/>
    <n v="413"/>
  </r>
  <r>
    <x v="13"/>
    <x v="4"/>
    <n v="72"/>
    <n v="6256.93"/>
    <n v="86.901799999999994"/>
    <n v="415"/>
  </r>
  <r>
    <x v="7"/>
    <x v="10"/>
    <n v="87"/>
    <n v="6202.04"/>
    <n v="71.287800000000004"/>
    <n v="416"/>
  </r>
  <r>
    <x v="15"/>
    <x v="29"/>
    <n v="40"/>
    <n v="6179.87"/>
    <n v="154.49680000000001"/>
    <n v="417"/>
  </r>
  <r>
    <x v="9"/>
    <x v="21"/>
    <n v="40"/>
    <n v="6157.35"/>
    <n v="153.93379999999999"/>
    <n v="418"/>
  </r>
  <r>
    <x v="9"/>
    <x v="22"/>
    <n v="40"/>
    <n v="6157.35"/>
    <n v="153.93379999999999"/>
    <n v="418"/>
  </r>
  <r>
    <x v="3"/>
    <x v="38"/>
    <n v="26"/>
    <n v="6134.07"/>
    <n v="235.92580000000001"/>
    <n v="420"/>
  </r>
  <r>
    <x v="7"/>
    <x v="21"/>
    <n v="27"/>
    <n v="6131.45"/>
    <n v="227.0907"/>
    <n v="421"/>
  </r>
  <r>
    <x v="7"/>
    <x v="22"/>
    <n v="27"/>
    <n v="6131.45"/>
    <n v="227.0907"/>
    <n v="421"/>
  </r>
  <r>
    <x v="17"/>
    <x v="29"/>
    <n v="47"/>
    <n v="6118.56"/>
    <n v="130.18209999999999"/>
    <n v="423"/>
  </r>
  <r>
    <x v="3"/>
    <x v="25"/>
    <n v="32"/>
    <n v="6112.04"/>
    <n v="191.00129999999999"/>
    <n v="424"/>
  </r>
  <r>
    <x v="8"/>
    <x v="24"/>
    <n v="40"/>
    <n v="6099.32"/>
    <n v="152.483"/>
    <n v="425"/>
  </r>
  <r>
    <x v="15"/>
    <x v="30"/>
    <n v="38"/>
    <n v="6098.37"/>
    <n v="160.48339999999999"/>
    <n v="426"/>
  </r>
  <r>
    <x v="17"/>
    <x v="30"/>
    <n v="46"/>
    <n v="6088.4"/>
    <n v="132.35650000000001"/>
    <n v="427"/>
  </r>
  <r>
    <x v="8"/>
    <x v="28"/>
    <n v="39"/>
    <n v="6072.92"/>
    <n v="155.7159"/>
    <n v="428"/>
  </r>
  <r>
    <x v="13"/>
    <x v="41"/>
    <n v="39"/>
    <n v="6071.43"/>
    <n v="155.67769999999999"/>
    <n v="429"/>
  </r>
  <r>
    <x v="2"/>
    <x v="31"/>
    <n v="42"/>
    <n v="6070.76"/>
    <n v="144.5419"/>
    <n v="430"/>
  </r>
  <r>
    <x v="11"/>
    <x v="46"/>
    <n v="31"/>
    <n v="6069.84"/>
    <n v="195.8013"/>
    <n v="431"/>
  </r>
  <r>
    <x v="10"/>
    <x v="23"/>
    <n v="38"/>
    <n v="6069.39"/>
    <n v="159.7208"/>
    <n v="432"/>
  </r>
  <r>
    <x v="8"/>
    <x v="2"/>
    <n v="67"/>
    <n v="6067.99"/>
    <n v="90.566999999999993"/>
    <n v="433"/>
  </r>
  <r>
    <x v="4"/>
    <x v="15"/>
    <n v="37"/>
    <n v="6056.95"/>
    <n v="163.70140000000001"/>
    <n v="434"/>
  </r>
  <r>
    <x v="4"/>
    <x v="17"/>
    <n v="36"/>
    <n v="6050.95"/>
    <n v="168.08189999999999"/>
    <n v="435"/>
  </r>
  <r>
    <x v="4"/>
    <x v="14"/>
    <n v="36"/>
    <n v="6048.98"/>
    <n v="168.02719999999999"/>
    <n v="436"/>
  </r>
  <r>
    <x v="16"/>
    <x v="14"/>
    <n v="50"/>
    <n v="6041.17"/>
    <n v="120.82340000000001"/>
    <n v="437"/>
  </r>
  <r>
    <x v="14"/>
    <x v="15"/>
    <n v="46"/>
    <n v="6038.76"/>
    <n v="131.2774"/>
    <n v="438"/>
  </r>
  <r>
    <x v="10"/>
    <x v="27"/>
    <n v="37"/>
    <n v="6011.69"/>
    <n v="162.47810000000001"/>
    <n v="439"/>
  </r>
  <r>
    <x v="14"/>
    <x v="17"/>
    <n v="45"/>
    <n v="6006.87"/>
    <n v="133.48599999999999"/>
    <n v="440"/>
  </r>
  <r>
    <x v="9"/>
    <x v="2"/>
    <n v="58"/>
    <n v="6003.16"/>
    <n v="103.50279999999999"/>
    <n v="441"/>
  </r>
  <r>
    <x v="11"/>
    <x v="26"/>
    <n v="31"/>
    <n v="6003.15"/>
    <n v="193.65"/>
    <n v="442"/>
  </r>
  <r>
    <x v="2"/>
    <x v="35"/>
    <n v="39"/>
    <n v="5988.16"/>
    <n v="153.54259999999999"/>
    <n v="443"/>
  </r>
  <r>
    <x v="13"/>
    <x v="47"/>
    <n v="27"/>
    <n v="5985.02"/>
    <n v="221.66739999999999"/>
    <n v="444"/>
  </r>
  <r>
    <x v="1"/>
    <x v="18"/>
    <n v="52"/>
    <n v="5982.16"/>
    <n v="115.0415"/>
    <n v="445"/>
  </r>
  <r>
    <x v="11"/>
    <x v="43"/>
    <n v="28"/>
    <n v="5979.65"/>
    <n v="213.55889999999999"/>
    <n v="446"/>
  </r>
  <r>
    <x v="3"/>
    <x v="39"/>
    <n v="30"/>
    <n v="5976.87"/>
    <n v="199.22900000000001"/>
    <n v="447"/>
  </r>
  <r>
    <x v="10"/>
    <x v="9"/>
    <n v="51"/>
    <n v="5970.04"/>
    <n v="117.0596"/>
    <n v="448"/>
  </r>
  <r>
    <x v="11"/>
    <x v="19"/>
    <n v="31"/>
    <n v="5961.96"/>
    <n v="192.32130000000001"/>
    <n v="449"/>
  </r>
  <r>
    <x v="12"/>
    <x v="11"/>
    <n v="86"/>
    <n v="5942.34"/>
    <n v="69.096999999999994"/>
    <n v="450"/>
  </r>
  <r>
    <x v="16"/>
    <x v="33"/>
    <n v="36"/>
    <n v="5938.36"/>
    <n v="164.95439999999999"/>
    <n v="451"/>
  </r>
  <r>
    <x v="16"/>
    <x v="32"/>
    <n v="36"/>
    <n v="5938.36"/>
    <n v="164.95439999999999"/>
    <n v="451"/>
  </r>
  <r>
    <x v="16"/>
    <x v="16"/>
    <n v="49"/>
    <n v="5914.99"/>
    <n v="120.7141"/>
    <n v="453"/>
  </r>
  <r>
    <x v="6"/>
    <x v="12"/>
    <n v="44"/>
    <n v="5903.16"/>
    <n v="134.1627"/>
    <n v="454"/>
  </r>
  <r>
    <x v="6"/>
    <x v="13"/>
    <n v="44"/>
    <n v="5903.16"/>
    <n v="134.1627"/>
    <n v="454"/>
  </r>
  <r>
    <x v="16"/>
    <x v="43"/>
    <n v="25"/>
    <n v="5886.82"/>
    <n v="235.47280000000001"/>
    <n v="456"/>
  </r>
  <r>
    <x v="8"/>
    <x v="3"/>
    <n v="72"/>
    <n v="5877.57"/>
    <n v="81.632900000000006"/>
    <n v="457"/>
  </r>
  <r>
    <x v="8"/>
    <x v="23"/>
    <n v="45"/>
    <n v="5876.03"/>
    <n v="130.57839999999999"/>
    <n v="458"/>
  </r>
  <r>
    <x v="8"/>
    <x v="27"/>
    <n v="43"/>
    <n v="5840.47"/>
    <n v="135.82490000000001"/>
    <n v="459"/>
  </r>
  <r>
    <x v="15"/>
    <x v="20"/>
    <n v="44"/>
    <n v="5816.54"/>
    <n v="132.19409999999999"/>
    <n v="460"/>
  </r>
  <r>
    <x v="17"/>
    <x v="44"/>
    <n v="23"/>
    <n v="5812.41"/>
    <n v="252.71350000000001"/>
    <n v="461"/>
  </r>
  <r>
    <x v="10"/>
    <x v="24"/>
    <n v="43"/>
    <n v="5791.53"/>
    <n v="134.6867"/>
    <n v="462"/>
  </r>
  <r>
    <x v="10"/>
    <x v="28"/>
    <n v="43"/>
    <n v="5791.53"/>
    <n v="134.6867"/>
    <n v="462"/>
  </r>
  <r>
    <x v="15"/>
    <x v="38"/>
    <n v="29"/>
    <n v="5784.72"/>
    <n v="199.47309999999999"/>
    <n v="464"/>
  </r>
  <r>
    <x v="5"/>
    <x v="37"/>
    <n v="25"/>
    <n v="5760.99"/>
    <n v="230.43960000000001"/>
    <n v="465"/>
  </r>
  <r>
    <x v="11"/>
    <x v="20"/>
    <n v="28"/>
    <n v="5759.44"/>
    <n v="205.6943"/>
    <n v="466"/>
  </r>
  <r>
    <x v="14"/>
    <x v="40"/>
    <n v="50"/>
    <n v="5756.99"/>
    <n v="115.13979999999999"/>
    <n v="467"/>
  </r>
  <r>
    <x v="9"/>
    <x v="19"/>
    <n v="48"/>
    <n v="5739.29"/>
    <n v="119.5685"/>
    <n v="468"/>
  </r>
  <r>
    <x v="7"/>
    <x v="26"/>
    <n v="30"/>
    <n v="5704.87"/>
    <n v="190.16229999999999"/>
    <n v="469"/>
  </r>
  <r>
    <x v="15"/>
    <x v="7"/>
    <n v="59"/>
    <n v="5697.24"/>
    <n v="96.563400000000001"/>
    <n v="470"/>
  </r>
  <r>
    <x v="6"/>
    <x v="34"/>
    <n v="42"/>
    <n v="5687.64"/>
    <n v="135.41999999999999"/>
    <n v="471"/>
  </r>
  <r>
    <x v="8"/>
    <x v="29"/>
    <n v="52"/>
    <n v="5671.29"/>
    <n v="109.0633"/>
    <n v="472"/>
  </r>
  <r>
    <x v="6"/>
    <x v="36"/>
    <n v="41"/>
    <n v="5667.28"/>
    <n v="138.22630000000001"/>
    <n v="473"/>
  </r>
  <r>
    <x v="12"/>
    <x v="29"/>
    <n v="39"/>
    <n v="5666.51"/>
    <n v="145.29509999999999"/>
    <n v="474"/>
  </r>
  <r>
    <x v="7"/>
    <x v="29"/>
    <n v="49"/>
    <n v="5663.92"/>
    <n v="115.5902"/>
    <n v="475"/>
  </r>
  <r>
    <x v="7"/>
    <x v="30"/>
    <n v="49"/>
    <n v="5663.92"/>
    <n v="115.5902"/>
    <n v="475"/>
  </r>
  <r>
    <x v="17"/>
    <x v="42"/>
    <n v="25"/>
    <n v="5662.69"/>
    <n v="226.5076"/>
    <n v="477"/>
  </r>
  <r>
    <x v="6"/>
    <x v="11"/>
    <n v="88"/>
    <n v="5661.45"/>
    <n v="64.334699999999998"/>
    <n v="478"/>
  </r>
  <r>
    <x v="5"/>
    <x v="18"/>
    <n v="29"/>
    <n v="5657.55"/>
    <n v="195.08789999999999"/>
    <n v="479"/>
  </r>
  <r>
    <x v="9"/>
    <x v="20"/>
    <n v="44"/>
    <n v="5656.86"/>
    <n v="128.565"/>
    <n v="480"/>
  </r>
  <r>
    <x v="4"/>
    <x v="16"/>
    <n v="33"/>
    <n v="5655.18"/>
    <n v="171.3691"/>
    <n v="481"/>
  </r>
  <r>
    <x v="15"/>
    <x v="11"/>
    <n v="90"/>
    <n v="5635.31"/>
    <n v="62.614600000000003"/>
    <n v="482"/>
  </r>
  <r>
    <x v="4"/>
    <x v="19"/>
    <n v="45"/>
    <n v="5610.06"/>
    <n v="124.66800000000001"/>
    <n v="483"/>
  </r>
  <r>
    <x v="7"/>
    <x v="24"/>
    <n v="43"/>
    <n v="5597.69"/>
    <n v="130.1788"/>
    <n v="484"/>
  </r>
  <r>
    <x v="16"/>
    <x v="2"/>
    <n v="84"/>
    <n v="5596.88"/>
    <n v="66.629499999999993"/>
    <n v="485"/>
  </r>
  <r>
    <x v="7"/>
    <x v="8"/>
    <n v="53"/>
    <n v="5583.4"/>
    <n v="105.3472"/>
    <n v="486"/>
  </r>
  <r>
    <x v="11"/>
    <x v="34"/>
    <n v="40"/>
    <n v="5576.32"/>
    <n v="139.40799999999999"/>
    <n v="487"/>
  </r>
  <r>
    <x v="13"/>
    <x v="34"/>
    <n v="43"/>
    <n v="5570.42"/>
    <n v="129.54470000000001"/>
    <n v="488"/>
  </r>
  <r>
    <x v="13"/>
    <x v="36"/>
    <n v="43"/>
    <n v="5570.42"/>
    <n v="129.54470000000001"/>
    <n v="488"/>
  </r>
  <r>
    <x v="7"/>
    <x v="18"/>
    <n v="27"/>
    <n v="5569.91"/>
    <n v="206.29300000000001"/>
    <n v="490"/>
  </r>
  <r>
    <x v="4"/>
    <x v="12"/>
    <n v="36"/>
    <n v="5566.97"/>
    <n v="154.63810000000001"/>
    <n v="491"/>
  </r>
  <r>
    <x v="4"/>
    <x v="13"/>
    <n v="36"/>
    <n v="5566.97"/>
    <n v="154.63810000000001"/>
    <n v="491"/>
  </r>
  <r>
    <x v="10"/>
    <x v="32"/>
    <n v="52"/>
    <n v="5565.8"/>
    <n v="107.0346"/>
    <n v="493"/>
  </r>
  <r>
    <x v="8"/>
    <x v="30"/>
    <n v="48"/>
    <n v="5535.79"/>
    <n v="115.32899999999999"/>
    <n v="494"/>
  </r>
  <r>
    <x v="9"/>
    <x v="40"/>
    <n v="41"/>
    <n v="5520.06"/>
    <n v="134.63560000000001"/>
    <n v="495"/>
  </r>
  <r>
    <x v="9"/>
    <x v="12"/>
    <n v="33"/>
    <n v="5504.76"/>
    <n v="166.8109"/>
    <n v="496"/>
  </r>
  <r>
    <x v="9"/>
    <x v="13"/>
    <n v="33"/>
    <n v="5504.76"/>
    <n v="166.8109"/>
    <n v="496"/>
  </r>
  <r>
    <x v="5"/>
    <x v="34"/>
    <n v="43"/>
    <n v="5501.43"/>
    <n v="127.9402"/>
    <n v="498"/>
  </r>
  <r>
    <x v="5"/>
    <x v="36"/>
    <n v="43"/>
    <n v="5501.43"/>
    <n v="127.9402"/>
    <n v="498"/>
  </r>
  <r>
    <x v="9"/>
    <x v="35"/>
    <n v="39"/>
    <n v="5495.08"/>
    <n v="140.89949999999999"/>
    <n v="500"/>
  </r>
  <r>
    <x v="8"/>
    <x v="31"/>
    <n v="36"/>
    <n v="5493.47"/>
    <n v="152.59639999999999"/>
    <n v="501"/>
  </r>
  <r>
    <x v="9"/>
    <x v="10"/>
    <n v="81"/>
    <n v="5472.34"/>
    <n v="67.559799999999996"/>
    <n v="502"/>
  </r>
  <r>
    <x v="8"/>
    <x v="35"/>
    <n v="35"/>
    <n v="5469.19"/>
    <n v="156.26259999999999"/>
    <n v="503"/>
  </r>
  <r>
    <x v="17"/>
    <x v="15"/>
    <n v="45"/>
    <n v="5455.36"/>
    <n v="121.2302"/>
    <n v="504"/>
  </r>
  <r>
    <x v="9"/>
    <x v="41"/>
    <n v="38"/>
    <n v="5449.75"/>
    <n v="143.4145"/>
    <n v="505"/>
  </r>
  <r>
    <x v="6"/>
    <x v="18"/>
    <n v="27"/>
    <n v="5442.03"/>
    <n v="201.55670000000001"/>
    <n v="506"/>
  </r>
  <r>
    <x v="5"/>
    <x v="24"/>
    <n v="44"/>
    <n v="5435.15"/>
    <n v="123.5261"/>
    <n v="507"/>
  </r>
  <r>
    <x v="5"/>
    <x v="28"/>
    <n v="44"/>
    <n v="5435.15"/>
    <n v="123.5261"/>
    <n v="507"/>
  </r>
  <r>
    <x v="4"/>
    <x v="46"/>
    <n v="25"/>
    <n v="5413.95"/>
    <n v="216.55799999999999"/>
    <n v="509"/>
  </r>
  <r>
    <x v="17"/>
    <x v="17"/>
    <n v="44"/>
    <n v="5397.66"/>
    <n v="122.6741"/>
    <n v="510"/>
  </r>
  <r>
    <x v="8"/>
    <x v="15"/>
    <n v="45"/>
    <n v="5393.94"/>
    <n v="119.8653"/>
    <n v="511"/>
  </r>
  <r>
    <x v="10"/>
    <x v="33"/>
    <n v="49"/>
    <n v="5386.56"/>
    <n v="109.9298"/>
    <n v="512"/>
  </r>
  <r>
    <x v="2"/>
    <x v="26"/>
    <n v="32"/>
    <n v="5371.53"/>
    <n v="167.8603"/>
    <n v="513"/>
  </r>
  <r>
    <x v="13"/>
    <x v="29"/>
    <n v="37"/>
    <n v="5366.17"/>
    <n v="145.0316"/>
    <n v="514"/>
  </r>
  <r>
    <x v="15"/>
    <x v="23"/>
    <n v="44"/>
    <n v="5360.89"/>
    <n v="121.83839999999999"/>
    <n v="515"/>
  </r>
  <r>
    <x v="8"/>
    <x v="17"/>
    <n v="43"/>
    <n v="5358.38"/>
    <n v="124.6135"/>
    <n v="516"/>
  </r>
  <r>
    <x v="15"/>
    <x v="27"/>
    <n v="43"/>
    <n v="5358.01"/>
    <n v="124.6049"/>
    <n v="517"/>
  </r>
  <r>
    <x v="11"/>
    <x v="36"/>
    <n v="39"/>
    <n v="5357.02"/>
    <n v="137.3595"/>
    <n v="518"/>
  </r>
  <r>
    <x v="7"/>
    <x v="28"/>
    <n v="42"/>
    <n v="5332.62"/>
    <n v="126.9671"/>
    <n v="519"/>
  </r>
  <r>
    <x v="13"/>
    <x v="30"/>
    <n v="35"/>
    <n v="5332.15"/>
    <n v="152.34710000000001"/>
    <n v="520"/>
  </r>
  <r>
    <x v="2"/>
    <x v="9"/>
    <n v="40"/>
    <n v="5330.63"/>
    <n v="133.26580000000001"/>
    <n v="521"/>
  </r>
  <r>
    <x v="5"/>
    <x v="21"/>
    <n v="38"/>
    <n v="5327.95"/>
    <n v="140.20920000000001"/>
    <n v="522"/>
  </r>
  <r>
    <x v="5"/>
    <x v="22"/>
    <n v="38"/>
    <n v="5327.95"/>
    <n v="140.20920000000001"/>
    <n v="522"/>
  </r>
  <r>
    <x v="9"/>
    <x v="32"/>
    <n v="51"/>
    <n v="5318.63"/>
    <n v="104.2869"/>
    <n v="524"/>
  </r>
  <r>
    <x v="17"/>
    <x v="40"/>
    <n v="37"/>
    <n v="5318.61"/>
    <n v="143.74619999999999"/>
    <n v="525"/>
  </r>
  <r>
    <x v="12"/>
    <x v="14"/>
    <n v="37"/>
    <n v="5293.91"/>
    <n v="143.07859999999999"/>
    <n v="526"/>
  </r>
  <r>
    <x v="8"/>
    <x v="6"/>
    <n v="78"/>
    <n v="5284.19"/>
    <n v="67.745999999999995"/>
    <n v="527"/>
  </r>
  <r>
    <x v="12"/>
    <x v="16"/>
    <n v="36"/>
    <n v="5280.78"/>
    <n v="146.6883"/>
    <n v="528"/>
  </r>
  <r>
    <x v="16"/>
    <x v="19"/>
    <n v="46"/>
    <n v="5276.87"/>
    <n v="114.7146"/>
    <n v="529"/>
  </r>
  <r>
    <x v="12"/>
    <x v="30"/>
    <n v="38"/>
    <n v="5273.3"/>
    <n v="138.77109999999999"/>
    <n v="530"/>
  </r>
  <r>
    <x v="11"/>
    <x v="25"/>
    <n v="27"/>
    <n v="5270.39"/>
    <n v="195.1996"/>
    <n v="531"/>
  </r>
  <r>
    <x v="16"/>
    <x v="37"/>
    <n v="26"/>
    <n v="5258.15"/>
    <n v="202.23650000000001"/>
    <n v="532"/>
  </r>
  <r>
    <x v="9"/>
    <x v="33"/>
    <n v="49"/>
    <n v="5255.09"/>
    <n v="107.2467"/>
    <n v="533"/>
  </r>
  <r>
    <x v="13"/>
    <x v="12"/>
    <n v="54"/>
    <n v="5226.37"/>
    <n v="96.784599999999998"/>
    <n v="534"/>
  </r>
  <r>
    <x v="13"/>
    <x v="13"/>
    <n v="54"/>
    <n v="5226.37"/>
    <n v="96.784599999999998"/>
    <n v="534"/>
  </r>
  <r>
    <x v="10"/>
    <x v="40"/>
    <n v="41"/>
    <n v="5194.12"/>
    <n v="126.6859"/>
    <n v="536"/>
  </r>
  <r>
    <x v="17"/>
    <x v="37"/>
    <n v="36"/>
    <n v="5187.3100000000004"/>
    <n v="144.09190000000001"/>
    <n v="537"/>
  </r>
  <r>
    <x v="16"/>
    <x v="20"/>
    <n v="42"/>
    <n v="5183.18"/>
    <n v="123.40900000000001"/>
    <n v="538"/>
  </r>
  <r>
    <x v="8"/>
    <x v="20"/>
    <n v="46"/>
    <n v="5176.17"/>
    <n v="112.5254"/>
    <n v="539"/>
  </r>
  <r>
    <x v="3"/>
    <x v="18"/>
    <n v="25"/>
    <n v="5173.2299999999996"/>
    <n v="206.92920000000001"/>
    <n v="540"/>
  </r>
  <r>
    <x v="12"/>
    <x v="47"/>
    <n v="27"/>
    <n v="5168.1400000000003"/>
    <n v="191.4126"/>
    <n v="541"/>
  </r>
  <r>
    <x v="17"/>
    <x v="43"/>
    <n v="33"/>
    <n v="5168"/>
    <n v="156.6061"/>
    <n v="542"/>
  </r>
  <r>
    <x v="12"/>
    <x v="12"/>
    <n v="42"/>
    <n v="5127.83"/>
    <n v="122.0912"/>
    <n v="543"/>
  </r>
  <r>
    <x v="12"/>
    <x v="13"/>
    <n v="42"/>
    <n v="5127.83"/>
    <n v="122.0912"/>
    <n v="543"/>
  </r>
  <r>
    <x v="3"/>
    <x v="45"/>
    <n v="30"/>
    <n v="5121.92"/>
    <n v="170.73070000000001"/>
    <n v="545"/>
  </r>
  <r>
    <x v="12"/>
    <x v="19"/>
    <n v="46"/>
    <n v="5113.83"/>
    <n v="111.17019999999999"/>
    <n v="546"/>
  </r>
  <r>
    <x v="4"/>
    <x v="33"/>
    <n v="50"/>
    <n v="5110.29"/>
    <n v="102.2058"/>
    <n v="547"/>
  </r>
  <r>
    <x v="4"/>
    <x v="32"/>
    <n v="50"/>
    <n v="5110.29"/>
    <n v="102.2058"/>
    <n v="547"/>
  </r>
  <r>
    <x v="16"/>
    <x v="10"/>
    <n v="79"/>
    <n v="5101.79"/>
    <n v="64.579599999999999"/>
    <n v="549"/>
  </r>
  <r>
    <x v="10"/>
    <x v="41"/>
    <n v="37"/>
    <n v="5095.6400000000003"/>
    <n v="137.72"/>
    <n v="550"/>
  </r>
  <r>
    <x v="14"/>
    <x v="41"/>
    <n v="46"/>
    <n v="5070.2"/>
    <n v="110.2217"/>
    <n v="551"/>
  </r>
  <r>
    <x v="7"/>
    <x v="33"/>
    <n v="51"/>
    <n v="5063.0600000000004"/>
    <n v="99.275700000000001"/>
    <n v="552"/>
  </r>
  <r>
    <x v="7"/>
    <x v="32"/>
    <n v="51"/>
    <n v="5063.0600000000004"/>
    <n v="99.275700000000001"/>
    <n v="552"/>
  </r>
  <r>
    <x v="12"/>
    <x v="32"/>
    <n v="39"/>
    <n v="5062.57"/>
    <n v="129.80950000000001"/>
    <n v="554"/>
  </r>
  <r>
    <x v="16"/>
    <x v="9"/>
    <n v="54"/>
    <n v="5060.2700000000004"/>
    <n v="93.708699999999993"/>
    <n v="555"/>
  </r>
  <r>
    <x v="13"/>
    <x v="44"/>
    <n v="32"/>
    <n v="5055.66"/>
    <n v="157.98939999999999"/>
    <n v="556"/>
  </r>
  <r>
    <x v="11"/>
    <x v="44"/>
    <n v="32"/>
    <n v="5050.4399999999996"/>
    <n v="157.8263"/>
    <n v="557"/>
  </r>
  <r>
    <x v="5"/>
    <x v="15"/>
    <n v="47"/>
    <n v="5032.21"/>
    <n v="107.06829999999999"/>
    <n v="558"/>
  </r>
  <r>
    <x v="5"/>
    <x v="17"/>
    <n v="47"/>
    <n v="5032.21"/>
    <n v="107.06829999999999"/>
    <n v="558"/>
  </r>
  <r>
    <x v="2"/>
    <x v="15"/>
    <n v="44"/>
    <n v="5008.51"/>
    <n v="113.82980000000001"/>
    <n v="560"/>
  </r>
  <r>
    <x v="11"/>
    <x v="18"/>
    <n v="28"/>
    <n v="4998.6099999999997"/>
    <n v="178.52180000000001"/>
    <n v="561"/>
  </r>
  <r>
    <x v="2"/>
    <x v="12"/>
    <n v="41"/>
    <n v="4987.3"/>
    <n v="121.64149999999999"/>
    <n v="562"/>
  </r>
  <r>
    <x v="2"/>
    <x v="13"/>
    <n v="41"/>
    <n v="4987.3"/>
    <n v="121.64149999999999"/>
    <n v="562"/>
  </r>
  <r>
    <x v="12"/>
    <x v="40"/>
    <n v="38"/>
    <n v="4984.8"/>
    <n v="131.1789"/>
    <n v="564"/>
  </r>
  <r>
    <x v="8"/>
    <x v="39"/>
    <n v="25"/>
    <n v="4984.51"/>
    <n v="199.38040000000001"/>
    <n v="565"/>
  </r>
  <r>
    <x v="7"/>
    <x v="12"/>
    <n v="56"/>
    <n v="4971.59"/>
    <n v="88.778400000000005"/>
    <n v="566"/>
  </r>
  <r>
    <x v="7"/>
    <x v="13"/>
    <n v="56"/>
    <n v="4971.59"/>
    <n v="88.778400000000005"/>
    <n v="566"/>
  </r>
  <r>
    <x v="8"/>
    <x v="42"/>
    <n v="26"/>
    <n v="4956"/>
    <n v="190.61539999999999"/>
    <n v="568"/>
  </r>
  <r>
    <x v="11"/>
    <x v="2"/>
    <n v="56"/>
    <n v="4954.22"/>
    <n v="88.468199999999996"/>
    <n v="569"/>
  </r>
  <r>
    <x v="15"/>
    <x v="46"/>
    <n v="30"/>
    <n v="4945.1099999999997"/>
    <n v="164.83699999999999"/>
    <n v="570"/>
  </r>
  <r>
    <x v="3"/>
    <x v="21"/>
    <n v="39"/>
    <n v="4944.17"/>
    <n v="126.7736"/>
    <n v="571"/>
  </r>
  <r>
    <x v="3"/>
    <x v="22"/>
    <n v="39"/>
    <n v="4944.17"/>
    <n v="126.7736"/>
    <n v="571"/>
  </r>
  <r>
    <x v="13"/>
    <x v="16"/>
    <n v="41"/>
    <n v="4943.3900000000003"/>
    <n v="120.5705"/>
    <n v="573"/>
  </r>
  <r>
    <x v="13"/>
    <x v="14"/>
    <n v="41"/>
    <n v="4943.3900000000003"/>
    <n v="120.5705"/>
    <n v="573"/>
  </r>
  <r>
    <x v="15"/>
    <x v="25"/>
    <n v="34"/>
    <n v="4940.34"/>
    <n v="145.30410000000001"/>
    <n v="575"/>
  </r>
  <r>
    <x v="9"/>
    <x v="45"/>
    <n v="28"/>
    <n v="4928.1000000000004"/>
    <n v="176.00360000000001"/>
    <n v="576"/>
  </r>
  <r>
    <x v="2"/>
    <x v="17"/>
    <n v="41"/>
    <n v="4927.37"/>
    <n v="120.1798"/>
    <n v="577"/>
  </r>
  <r>
    <x v="5"/>
    <x v="39"/>
    <n v="26"/>
    <n v="4925.2299999999996"/>
    <n v="189.43190000000001"/>
    <n v="578"/>
  </r>
  <r>
    <x v="4"/>
    <x v="2"/>
    <n v="74"/>
    <n v="4910.0200000000004"/>
    <n v="66.351600000000005"/>
    <n v="579"/>
  </r>
  <r>
    <x v="11"/>
    <x v="39"/>
    <n v="28"/>
    <n v="4888.08"/>
    <n v="174.57429999999999"/>
    <n v="580"/>
  </r>
  <r>
    <x v="1"/>
    <x v="39"/>
    <n v="42"/>
    <n v="4884.26"/>
    <n v="116.2919"/>
    <n v="581"/>
  </r>
  <r>
    <x v="10"/>
    <x v="5"/>
    <n v="58"/>
    <n v="4864.7700000000004"/>
    <n v="83.875299999999996"/>
    <n v="582"/>
  </r>
  <r>
    <x v="4"/>
    <x v="29"/>
    <n v="47"/>
    <n v="4860.1400000000003"/>
    <n v="103.4072"/>
    <n v="583"/>
  </r>
  <r>
    <x v="4"/>
    <x v="30"/>
    <n v="47"/>
    <n v="4860.1400000000003"/>
    <n v="103.4072"/>
    <n v="583"/>
  </r>
  <r>
    <x v="7"/>
    <x v="7"/>
    <n v="56"/>
    <n v="4856.59"/>
    <n v="86.724800000000002"/>
    <n v="585"/>
  </r>
  <r>
    <x v="16"/>
    <x v="8"/>
    <n v="66"/>
    <n v="4831.2700000000004"/>
    <n v="73.201099999999997"/>
    <n v="586"/>
  </r>
  <r>
    <x v="10"/>
    <x v="25"/>
    <n v="34"/>
    <n v="4824.96"/>
    <n v="141.91059999999999"/>
    <n v="587"/>
  </r>
  <r>
    <x v="3"/>
    <x v="24"/>
    <n v="43"/>
    <n v="4818.95"/>
    <n v="112.0686"/>
    <n v="588"/>
  </r>
  <r>
    <x v="3"/>
    <x v="31"/>
    <n v="51"/>
    <n v="4815.8999999999996"/>
    <n v="94.429400000000001"/>
    <n v="589"/>
  </r>
  <r>
    <x v="16"/>
    <x v="34"/>
    <n v="40"/>
    <n v="4815.6099999999997"/>
    <n v="120.3903"/>
    <n v="590"/>
  </r>
  <r>
    <x v="16"/>
    <x v="36"/>
    <n v="40"/>
    <n v="4815.6099999999997"/>
    <n v="120.3903"/>
    <n v="590"/>
  </r>
  <r>
    <x v="3"/>
    <x v="28"/>
    <n v="42"/>
    <n v="4811.95"/>
    <n v="114.5702"/>
    <n v="592"/>
  </r>
  <r>
    <x v="7"/>
    <x v="45"/>
    <n v="24"/>
    <n v="4797.55"/>
    <n v="199.89789999999999"/>
    <n v="593"/>
  </r>
  <r>
    <x v="13"/>
    <x v="24"/>
    <n v="39"/>
    <n v="4791.04"/>
    <n v="122.8472"/>
    <n v="594"/>
  </r>
  <r>
    <x v="13"/>
    <x v="28"/>
    <n v="39"/>
    <n v="4791.04"/>
    <n v="122.8472"/>
    <n v="594"/>
  </r>
  <r>
    <x v="11"/>
    <x v="14"/>
    <n v="40"/>
    <n v="4781.75"/>
    <n v="119.5438"/>
    <n v="596"/>
  </r>
  <r>
    <x v="2"/>
    <x v="18"/>
    <n v="22"/>
    <n v="4756.1000000000004"/>
    <n v="216.18639999999999"/>
    <n v="597"/>
  </r>
  <r>
    <x v="6"/>
    <x v="15"/>
    <n v="43"/>
    <n v="4753.53"/>
    <n v="110.5472"/>
    <n v="598"/>
  </r>
  <r>
    <x v="15"/>
    <x v="40"/>
    <n v="41"/>
    <n v="4731.18"/>
    <n v="115.3946"/>
    <n v="599"/>
  </r>
  <r>
    <x v="11"/>
    <x v="16"/>
    <n v="39"/>
    <n v="4730.79"/>
    <n v="121.3023"/>
    <n v="600"/>
  </r>
  <r>
    <x v="8"/>
    <x v="40"/>
    <n v="40"/>
    <n v="4722.54"/>
    <n v="118.0635"/>
    <n v="601"/>
  </r>
  <r>
    <x v="2"/>
    <x v="29"/>
    <n v="42"/>
    <n v="4713.18"/>
    <n v="112.2186"/>
    <n v="602"/>
  </r>
  <r>
    <x v="2"/>
    <x v="8"/>
    <n v="61"/>
    <n v="4708.6099999999997"/>
    <n v="77.190299999999993"/>
    <n v="603"/>
  </r>
  <r>
    <x v="15"/>
    <x v="39"/>
    <n v="30"/>
    <n v="4696.67"/>
    <n v="156.5557"/>
    <n v="604"/>
  </r>
  <r>
    <x v="4"/>
    <x v="23"/>
    <n v="40"/>
    <n v="4688.7299999999996"/>
    <n v="117.2183"/>
    <n v="605"/>
  </r>
  <r>
    <x v="11"/>
    <x v="24"/>
    <n v="48"/>
    <n v="4687.25"/>
    <n v="97.650999999999996"/>
    <n v="606"/>
  </r>
  <r>
    <x v="4"/>
    <x v="27"/>
    <n v="39"/>
    <n v="4682.7299999999996"/>
    <n v="120.07"/>
    <n v="607"/>
  </r>
  <r>
    <x v="2"/>
    <x v="30"/>
    <n v="40"/>
    <n v="4679.79"/>
    <n v="116.9948"/>
    <n v="608"/>
  </r>
  <r>
    <x v="12"/>
    <x v="33"/>
    <n v="38"/>
    <n v="4669.3599999999997"/>
    <n v="122.8779"/>
    <n v="609"/>
  </r>
  <r>
    <x v="15"/>
    <x v="34"/>
    <n v="41"/>
    <n v="4667.9399999999996"/>
    <n v="113.8522"/>
    <n v="610"/>
  </r>
  <r>
    <x v="15"/>
    <x v="36"/>
    <n v="41"/>
    <n v="4667.9399999999996"/>
    <n v="113.8522"/>
    <n v="610"/>
  </r>
  <r>
    <x v="3"/>
    <x v="37"/>
    <n v="23"/>
    <n v="4656.78"/>
    <n v="202.46870000000001"/>
    <n v="612"/>
  </r>
  <r>
    <x v="17"/>
    <x v="41"/>
    <n v="34"/>
    <n v="4651.4399999999996"/>
    <n v="136.80709999999999"/>
    <n v="613"/>
  </r>
  <r>
    <x v="14"/>
    <x v="34"/>
    <n v="41"/>
    <n v="4644.8100000000004"/>
    <n v="113.288"/>
    <n v="614"/>
  </r>
  <r>
    <x v="11"/>
    <x v="28"/>
    <n v="47"/>
    <n v="4636.29"/>
    <n v="98.644499999999994"/>
    <n v="615"/>
  </r>
  <r>
    <x v="15"/>
    <x v="12"/>
    <n v="46"/>
    <n v="4627.42"/>
    <n v="100.59610000000001"/>
    <n v="616"/>
  </r>
  <r>
    <x v="15"/>
    <x v="13"/>
    <n v="46"/>
    <n v="4627.42"/>
    <n v="100.59610000000001"/>
    <n v="616"/>
  </r>
  <r>
    <x v="4"/>
    <x v="20"/>
    <n v="34"/>
    <n v="4611.49"/>
    <n v="135.63210000000001"/>
    <n v="618"/>
  </r>
  <r>
    <x v="12"/>
    <x v="31"/>
    <n v="37"/>
    <n v="4610.9399999999996"/>
    <n v="124.62"/>
    <n v="619"/>
  </r>
  <r>
    <x v="16"/>
    <x v="25"/>
    <n v="26"/>
    <n v="4610.18"/>
    <n v="177.31460000000001"/>
    <n v="620"/>
  </r>
  <r>
    <x v="3"/>
    <x v="33"/>
    <n v="45"/>
    <n v="4609.6099999999997"/>
    <n v="102.4358"/>
    <n v="621"/>
  </r>
  <r>
    <x v="3"/>
    <x v="32"/>
    <n v="45"/>
    <n v="4609.6099999999997"/>
    <n v="102.4358"/>
    <n v="621"/>
  </r>
  <r>
    <x v="13"/>
    <x v="26"/>
    <n v="27"/>
    <n v="4578.12"/>
    <n v="169.56"/>
    <n v="623"/>
  </r>
  <r>
    <x v="16"/>
    <x v="44"/>
    <n v="24"/>
    <n v="4577.34"/>
    <n v="190.7225"/>
    <n v="624"/>
  </r>
  <r>
    <x v="11"/>
    <x v="38"/>
    <n v="29"/>
    <n v="4573.9399999999996"/>
    <n v="157.72210000000001"/>
    <n v="625"/>
  </r>
  <r>
    <x v="16"/>
    <x v="42"/>
    <n v="25"/>
    <n v="4554.97"/>
    <n v="182.19880000000001"/>
    <n v="626"/>
  </r>
  <r>
    <x v="7"/>
    <x v="25"/>
    <n v="28"/>
    <n v="4549.9399999999996"/>
    <n v="162.49789999999999"/>
    <n v="627"/>
  </r>
  <r>
    <x v="6"/>
    <x v="17"/>
    <n v="42"/>
    <n v="4544.29"/>
    <n v="108.1974"/>
    <n v="628"/>
  </r>
  <r>
    <x v="13"/>
    <x v="43"/>
    <n v="34"/>
    <n v="4527.28"/>
    <n v="133.15530000000001"/>
    <n v="629"/>
  </r>
  <r>
    <x v="6"/>
    <x v="21"/>
    <n v="33"/>
    <n v="4498.1400000000003"/>
    <n v="136.3073"/>
    <n v="630"/>
  </r>
  <r>
    <x v="6"/>
    <x v="22"/>
    <n v="33"/>
    <n v="4498.1400000000003"/>
    <n v="136.3073"/>
    <n v="630"/>
  </r>
  <r>
    <x v="12"/>
    <x v="26"/>
    <n v="28"/>
    <n v="4497.91"/>
    <n v="160.6396"/>
    <n v="632"/>
  </r>
  <r>
    <x v="8"/>
    <x v="14"/>
    <n v="37"/>
    <n v="4490.8100000000004"/>
    <n v="121.3732"/>
    <n v="633"/>
  </r>
  <r>
    <x v="10"/>
    <x v="19"/>
    <n v="37"/>
    <n v="4480.41"/>
    <n v="121.09220000000001"/>
    <n v="634"/>
  </r>
  <r>
    <x v="15"/>
    <x v="21"/>
    <n v="36"/>
    <n v="4479.0600000000004"/>
    <n v="124.4183"/>
    <n v="635"/>
  </r>
  <r>
    <x v="15"/>
    <x v="22"/>
    <n v="36"/>
    <n v="4479.0600000000004"/>
    <n v="124.4183"/>
    <n v="635"/>
  </r>
  <r>
    <x v="15"/>
    <x v="45"/>
    <n v="27"/>
    <n v="4478.59"/>
    <n v="165.87370000000001"/>
    <n v="637"/>
  </r>
  <r>
    <x v="14"/>
    <x v="36"/>
    <n v="39"/>
    <n v="4476.3"/>
    <n v="114.7769"/>
    <n v="638"/>
  </r>
  <r>
    <x v="13"/>
    <x v="45"/>
    <n v="26"/>
    <n v="4465.93"/>
    <n v="171.76650000000001"/>
    <n v="639"/>
  </r>
  <r>
    <x v="8"/>
    <x v="16"/>
    <n v="36"/>
    <n v="4464.41"/>
    <n v="124.01139999999999"/>
    <n v="640"/>
  </r>
  <r>
    <x v="2"/>
    <x v="6"/>
    <n v="87"/>
    <n v="4434.99"/>
    <n v="50.976900000000001"/>
    <n v="641"/>
  </r>
  <r>
    <x v="14"/>
    <x v="24"/>
    <n v="41"/>
    <n v="4432.84"/>
    <n v="108.11799999999999"/>
    <n v="642"/>
  </r>
  <r>
    <x v="12"/>
    <x v="20"/>
    <n v="42"/>
    <n v="4424.16"/>
    <n v="105.33710000000001"/>
    <n v="643"/>
  </r>
  <r>
    <x v="10"/>
    <x v="15"/>
    <n v="41"/>
    <n v="4370.93"/>
    <n v="106.608"/>
    <n v="644"/>
  </r>
  <r>
    <x v="14"/>
    <x v="9"/>
    <n v="47"/>
    <n v="4348.6499999999996"/>
    <n v="92.524500000000003"/>
    <n v="645"/>
  </r>
  <r>
    <x v="4"/>
    <x v="26"/>
    <n v="36"/>
    <n v="4328.7"/>
    <n v="120.24169999999999"/>
    <n v="646"/>
  </r>
  <r>
    <x v="10"/>
    <x v="17"/>
    <n v="40"/>
    <n v="4313.2299999999996"/>
    <n v="107.8308"/>
    <n v="647"/>
  </r>
  <r>
    <x v="2"/>
    <x v="38"/>
    <n v="30"/>
    <n v="4312.62"/>
    <n v="143.75399999999999"/>
    <n v="648"/>
  </r>
  <r>
    <x v="12"/>
    <x v="41"/>
    <n v="35"/>
    <n v="4304.22"/>
    <n v="122.9777"/>
    <n v="649"/>
  </r>
  <r>
    <x v="6"/>
    <x v="42"/>
    <n v="16"/>
    <n v="4291.24"/>
    <n v="268.20249999999999"/>
    <n v="650"/>
  </r>
  <r>
    <x v="14"/>
    <x v="28"/>
    <n v="39"/>
    <n v="4283.28"/>
    <n v="109.82769999999999"/>
    <n v="651"/>
  </r>
  <r>
    <x v="13"/>
    <x v="19"/>
    <n v="50"/>
    <n v="4274.18"/>
    <n v="85.483599999999996"/>
    <n v="652"/>
  </r>
  <r>
    <x v="9"/>
    <x v="46"/>
    <n v="25"/>
    <n v="4272.12"/>
    <n v="170.88480000000001"/>
    <n v="653"/>
  </r>
  <r>
    <x v="10"/>
    <x v="20"/>
    <n v="31"/>
    <n v="4268.82"/>
    <n v="137.7039"/>
    <n v="654"/>
  </r>
  <r>
    <x v="16"/>
    <x v="35"/>
    <n v="39"/>
    <n v="4261.38"/>
    <n v="109.2662"/>
    <n v="655"/>
  </r>
  <r>
    <x v="16"/>
    <x v="31"/>
    <n v="39"/>
    <n v="4261.38"/>
    <n v="109.2662"/>
    <n v="655"/>
  </r>
  <r>
    <x v="2"/>
    <x v="40"/>
    <n v="42"/>
    <n v="4249.46"/>
    <n v="101.1776"/>
    <n v="657"/>
  </r>
  <r>
    <x v="17"/>
    <x v="23"/>
    <n v="46"/>
    <n v="4240.41"/>
    <n v="92.1828"/>
    <n v="658"/>
  </r>
  <r>
    <x v="13"/>
    <x v="42"/>
    <n v="29"/>
    <n v="4236.7700000000004"/>
    <n v="146.09549999999999"/>
    <n v="659"/>
  </r>
  <r>
    <x v="15"/>
    <x v="24"/>
    <n v="36"/>
    <n v="4233.1000000000004"/>
    <n v="117.5861"/>
    <n v="660"/>
  </r>
  <r>
    <x v="15"/>
    <x v="32"/>
    <n v="41"/>
    <n v="4220.12"/>
    <n v="102.9298"/>
    <n v="661"/>
  </r>
  <r>
    <x v="3"/>
    <x v="6"/>
    <n v="76"/>
    <n v="4218.0600000000004"/>
    <n v="55.500799999999998"/>
    <n v="662"/>
  </r>
  <r>
    <x v="9"/>
    <x v="15"/>
    <n v="42"/>
    <n v="4208.01"/>
    <n v="100.19070000000001"/>
    <n v="663"/>
  </r>
  <r>
    <x v="6"/>
    <x v="44"/>
    <n v="26"/>
    <n v="4195.28"/>
    <n v="161.3569"/>
    <n v="664"/>
  </r>
  <r>
    <x v="17"/>
    <x v="27"/>
    <n v="45"/>
    <n v="4182.71"/>
    <n v="92.949100000000001"/>
    <n v="665"/>
  </r>
  <r>
    <x v="2"/>
    <x v="37"/>
    <n v="28"/>
    <n v="4168.41"/>
    <n v="148.87180000000001"/>
    <n v="666"/>
  </r>
  <r>
    <x v="16"/>
    <x v="15"/>
    <n v="37"/>
    <n v="4160.25"/>
    <n v="112.4392"/>
    <n v="667"/>
  </r>
  <r>
    <x v="3"/>
    <x v="29"/>
    <n v="40"/>
    <n v="4159.6400000000003"/>
    <n v="103.991"/>
    <n v="668"/>
  </r>
  <r>
    <x v="3"/>
    <x v="30"/>
    <n v="40"/>
    <n v="4159.6400000000003"/>
    <n v="103.991"/>
    <n v="668"/>
  </r>
  <r>
    <x v="2"/>
    <x v="41"/>
    <n v="39"/>
    <n v="4156.1099999999997"/>
    <n v="106.5669"/>
    <n v="670"/>
  </r>
  <r>
    <x v="15"/>
    <x v="33"/>
    <n v="39"/>
    <n v="4138.62"/>
    <n v="106.1185"/>
    <n v="671"/>
  </r>
  <r>
    <x v="9"/>
    <x v="17"/>
    <n v="41"/>
    <n v="4133.51"/>
    <n v="100.8173"/>
    <n v="672"/>
  </r>
  <r>
    <x v="17"/>
    <x v="12"/>
    <n v="37"/>
    <n v="4129.29"/>
    <n v="111.6024"/>
    <n v="673"/>
  </r>
  <r>
    <x v="17"/>
    <x v="13"/>
    <n v="37"/>
    <n v="4129.29"/>
    <n v="111.6024"/>
    <n v="673"/>
  </r>
  <r>
    <x v="7"/>
    <x v="9"/>
    <n v="56"/>
    <n v="4125.93"/>
    <n v="73.677300000000002"/>
    <n v="675"/>
  </r>
  <r>
    <x v="17"/>
    <x v="32"/>
    <n v="52"/>
    <n v="4115.55"/>
    <n v="79.145200000000003"/>
    <n v="676"/>
  </r>
  <r>
    <x v="16"/>
    <x v="17"/>
    <n v="36"/>
    <n v="4112.6400000000003"/>
    <n v="114.24"/>
    <n v="677"/>
  </r>
  <r>
    <x v="10"/>
    <x v="38"/>
    <n v="32"/>
    <n v="4096.18"/>
    <n v="128.00559999999999"/>
    <n v="678"/>
  </r>
  <r>
    <x v="17"/>
    <x v="33"/>
    <n v="51"/>
    <n v="4085.39"/>
    <n v="80.105699999999999"/>
    <n v="679"/>
  </r>
  <r>
    <x v="13"/>
    <x v="23"/>
    <n v="42"/>
    <n v="4082.96"/>
    <n v="97.213300000000004"/>
    <n v="680"/>
  </r>
  <r>
    <x v="4"/>
    <x v="39"/>
    <n v="27"/>
    <n v="4060.2"/>
    <n v="150.37780000000001"/>
    <n v="681"/>
  </r>
  <r>
    <x v="2"/>
    <x v="44"/>
    <n v="31"/>
    <n v="4059.65"/>
    <n v="130.95650000000001"/>
    <n v="682"/>
  </r>
  <r>
    <x v="9"/>
    <x v="37"/>
    <n v="30"/>
    <n v="4039.62"/>
    <n v="134.654"/>
    <n v="683"/>
  </r>
  <r>
    <x v="14"/>
    <x v="46"/>
    <n v="35"/>
    <n v="4015.72"/>
    <n v="114.7349"/>
    <n v="684"/>
  </r>
  <r>
    <x v="8"/>
    <x v="46"/>
    <n v="35"/>
    <n v="4011.09"/>
    <n v="114.6026"/>
    <n v="685"/>
  </r>
  <r>
    <x v="13"/>
    <x v="20"/>
    <n v="46"/>
    <n v="4004.16"/>
    <n v="87.046999999999997"/>
    <n v="686"/>
  </r>
  <r>
    <x v="16"/>
    <x v="47"/>
    <n v="27"/>
    <n v="3989.42"/>
    <n v="147.75630000000001"/>
    <n v="687"/>
  </r>
  <r>
    <x v="2"/>
    <x v="25"/>
    <n v="25"/>
    <n v="3982.28"/>
    <n v="159.2912"/>
    <n v="688"/>
  </r>
  <r>
    <x v="17"/>
    <x v="18"/>
    <n v="29"/>
    <n v="3974.31"/>
    <n v="137.04519999999999"/>
    <n v="689"/>
  </r>
  <r>
    <x v="12"/>
    <x v="39"/>
    <n v="34"/>
    <n v="3956.92"/>
    <n v="116.38"/>
    <n v="690"/>
  </r>
  <r>
    <x v="8"/>
    <x v="38"/>
    <n v="29"/>
    <n v="3936.25"/>
    <n v="135.7328"/>
    <n v="691"/>
  </r>
  <r>
    <x v="8"/>
    <x v="45"/>
    <n v="26"/>
    <n v="3934.64"/>
    <n v="151.3323"/>
    <n v="692"/>
  </r>
  <r>
    <x v="13"/>
    <x v="27"/>
    <n v="40"/>
    <n v="3918.2"/>
    <n v="97.954999999999998"/>
    <n v="693"/>
  </r>
  <r>
    <x v="15"/>
    <x v="28"/>
    <n v="34"/>
    <n v="3901.58"/>
    <n v="114.75239999999999"/>
    <n v="694"/>
  </r>
  <r>
    <x v="12"/>
    <x v="35"/>
    <n v="35"/>
    <n v="3895.93"/>
    <n v="111.31229999999999"/>
    <n v="695"/>
  </r>
  <r>
    <x v="10"/>
    <x v="43"/>
    <n v="25"/>
    <n v="3882.52"/>
    <n v="155.30080000000001"/>
    <n v="696"/>
  </r>
  <r>
    <x v="6"/>
    <x v="23"/>
    <n v="48"/>
    <n v="3880.51"/>
    <n v="80.843999999999994"/>
    <n v="697"/>
  </r>
  <r>
    <x v="12"/>
    <x v="45"/>
    <n v="25"/>
    <n v="3871.01"/>
    <n v="154.84039999999999"/>
    <n v="698"/>
  </r>
  <r>
    <x v="17"/>
    <x v="24"/>
    <n v="40"/>
    <n v="3851.27"/>
    <n v="96.281800000000004"/>
    <n v="699"/>
  </r>
  <r>
    <x v="8"/>
    <x v="41"/>
    <n v="37"/>
    <n v="3850.01"/>
    <n v="104.0543"/>
    <n v="700"/>
  </r>
  <r>
    <x v="2"/>
    <x v="47"/>
    <n v="29"/>
    <n v="3839.29"/>
    <n v="132.38929999999999"/>
    <n v="701"/>
  </r>
  <r>
    <x v="4"/>
    <x v="45"/>
    <n v="25"/>
    <n v="3823.71"/>
    <n v="152.94839999999999"/>
    <n v="702"/>
  </r>
  <r>
    <x v="17"/>
    <x v="28"/>
    <n v="38"/>
    <n v="3803.67"/>
    <n v="100.0966"/>
    <n v="703"/>
  </r>
  <r>
    <x v="3"/>
    <x v="19"/>
    <n v="51"/>
    <n v="3785.88"/>
    <n v="74.232900000000001"/>
    <n v="704"/>
  </r>
  <r>
    <x v="9"/>
    <x v="25"/>
    <n v="22"/>
    <n v="3740.88"/>
    <n v="170.04"/>
    <n v="705"/>
  </r>
  <r>
    <x v="2"/>
    <x v="42"/>
    <n v="33"/>
    <n v="3715.53"/>
    <n v="112.59180000000001"/>
    <n v="706"/>
  </r>
  <r>
    <x v="6"/>
    <x v="5"/>
    <n v="51"/>
    <n v="3710.25"/>
    <n v="72.75"/>
    <n v="707"/>
  </r>
  <r>
    <x v="17"/>
    <x v="25"/>
    <n v="31"/>
    <n v="3705.45"/>
    <n v="119.53060000000001"/>
    <n v="708"/>
  </r>
  <r>
    <x v="10"/>
    <x v="29"/>
    <n v="40"/>
    <n v="3701.64"/>
    <n v="92.540999999999997"/>
    <n v="709"/>
  </r>
  <r>
    <x v="14"/>
    <x v="31"/>
    <n v="36"/>
    <n v="3687.82"/>
    <n v="102.43940000000001"/>
    <n v="710"/>
  </r>
  <r>
    <x v="2"/>
    <x v="46"/>
    <n v="26"/>
    <n v="3684.55"/>
    <n v="141.71350000000001"/>
    <n v="711"/>
  </r>
  <r>
    <x v="6"/>
    <x v="27"/>
    <n v="47"/>
    <n v="3671.27"/>
    <n v="78.112099999999998"/>
    <n v="712"/>
  </r>
  <r>
    <x v="5"/>
    <x v="26"/>
    <n v="27"/>
    <n v="3667.75"/>
    <n v="135.8426"/>
    <n v="713"/>
  </r>
  <r>
    <x v="9"/>
    <x v="38"/>
    <n v="24"/>
    <n v="3663.74"/>
    <n v="152.6558"/>
    <n v="714"/>
  </r>
  <r>
    <x v="10"/>
    <x v="39"/>
    <n v="29"/>
    <n v="3659.87"/>
    <n v="126.2024"/>
    <n v="715"/>
  </r>
  <r>
    <x v="16"/>
    <x v="24"/>
    <n v="37"/>
    <n v="3649.67"/>
    <n v="98.639700000000005"/>
    <n v="716"/>
  </r>
  <r>
    <x v="2"/>
    <x v="19"/>
    <n v="40"/>
    <n v="3646.14"/>
    <n v="91.153499999999994"/>
    <n v="717"/>
  </r>
  <r>
    <x v="13"/>
    <x v="39"/>
    <n v="22"/>
    <n v="3638.06"/>
    <n v="165.3664"/>
    <n v="718"/>
  </r>
  <r>
    <x v="9"/>
    <x v="44"/>
    <n v="27"/>
    <n v="3622.94"/>
    <n v="134.18299999999999"/>
    <n v="719"/>
  </r>
  <r>
    <x v="3"/>
    <x v="20"/>
    <n v="47"/>
    <n v="3618.5"/>
    <n v="76.989400000000003"/>
    <n v="720"/>
  </r>
  <r>
    <x v="4"/>
    <x v="21"/>
    <n v="32"/>
    <n v="3612.63"/>
    <n v="112.8947"/>
    <n v="721"/>
  </r>
  <r>
    <x v="4"/>
    <x v="22"/>
    <n v="32"/>
    <n v="3612.63"/>
    <n v="112.8947"/>
    <n v="721"/>
  </r>
  <r>
    <x v="6"/>
    <x v="37"/>
    <n v="28"/>
    <n v="3602.39"/>
    <n v="128.6568"/>
    <n v="723"/>
  </r>
  <r>
    <x v="10"/>
    <x v="42"/>
    <n v="30"/>
    <n v="3602.33"/>
    <n v="120.07769999999999"/>
    <n v="724"/>
  </r>
  <r>
    <x v="9"/>
    <x v="18"/>
    <n v="31"/>
    <n v="3600.27"/>
    <n v="116.1377"/>
    <n v="725"/>
  </r>
  <r>
    <x v="9"/>
    <x v="47"/>
    <n v="29"/>
    <n v="3592.14"/>
    <n v="123.8669"/>
    <n v="726"/>
  </r>
  <r>
    <x v="9"/>
    <x v="23"/>
    <n v="37"/>
    <n v="3573.83"/>
    <n v="96.59"/>
    <n v="727"/>
  </r>
  <r>
    <x v="12"/>
    <x v="15"/>
    <n v="36"/>
    <n v="3545.28"/>
    <n v="98.48"/>
    <n v="728"/>
  </r>
  <r>
    <x v="4"/>
    <x v="25"/>
    <n v="27"/>
    <n v="3538.4"/>
    <n v="131.05189999999999"/>
    <n v="729"/>
  </r>
  <r>
    <x v="12"/>
    <x v="17"/>
    <n v="35"/>
    <n v="3535.18"/>
    <n v="101.0051"/>
    <n v="730"/>
  </r>
  <r>
    <x v="16"/>
    <x v="28"/>
    <n v="36"/>
    <n v="3523.49"/>
    <n v="97.874700000000004"/>
    <n v="731"/>
  </r>
  <r>
    <x v="10"/>
    <x v="30"/>
    <n v="37"/>
    <n v="3522.4"/>
    <n v="95.2"/>
    <n v="732"/>
  </r>
  <r>
    <x v="14"/>
    <x v="35"/>
    <n v="34"/>
    <n v="3519.31"/>
    <n v="103.5091"/>
    <n v="733"/>
  </r>
  <r>
    <x v="14"/>
    <x v="25"/>
    <n v="27"/>
    <n v="3509.06"/>
    <n v="129.96520000000001"/>
    <n v="734"/>
  </r>
  <r>
    <x v="9"/>
    <x v="27"/>
    <n v="36"/>
    <n v="3499.33"/>
    <n v="97.203599999999994"/>
    <n v="735"/>
  </r>
  <r>
    <x v="17"/>
    <x v="31"/>
    <n v="48"/>
    <n v="3490.1"/>
    <n v="72.710400000000007"/>
    <n v="736"/>
  </r>
  <r>
    <x v="6"/>
    <x v="31"/>
    <n v="37"/>
    <n v="3488.73"/>
    <n v="94.29"/>
    <n v="737"/>
  </r>
  <r>
    <x v="6"/>
    <x v="39"/>
    <n v="28"/>
    <n v="3487.32"/>
    <n v="124.5471"/>
    <n v="738"/>
  </r>
  <r>
    <x v="8"/>
    <x v="37"/>
    <n v="33"/>
    <n v="3483.86"/>
    <n v="105.5715"/>
    <n v="739"/>
  </r>
  <r>
    <x v="6"/>
    <x v="35"/>
    <n v="36"/>
    <n v="3468.37"/>
    <n v="96.343599999999995"/>
    <n v="740"/>
  </r>
  <r>
    <x v="5"/>
    <x v="46"/>
    <n v="25"/>
    <n v="3464.39"/>
    <n v="138.57560000000001"/>
    <n v="741"/>
  </r>
  <r>
    <x v="11"/>
    <x v="31"/>
    <n v="40"/>
    <n v="3463.69"/>
    <n v="86.592299999999994"/>
    <n v="742"/>
  </r>
  <r>
    <x v="8"/>
    <x v="18"/>
    <n v="31"/>
    <n v="3448.3"/>
    <n v="111.2355"/>
    <n v="743"/>
  </r>
  <r>
    <x v="17"/>
    <x v="35"/>
    <n v="46"/>
    <n v="3447.8"/>
    <n v="74.952200000000005"/>
    <n v="744"/>
  </r>
  <r>
    <x v="4"/>
    <x v="18"/>
    <n v="27"/>
    <n v="3435.98"/>
    <n v="127.2585"/>
    <n v="745"/>
  </r>
  <r>
    <x v="9"/>
    <x v="29"/>
    <n v="32"/>
    <n v="3433.87"/>
    <n v="107.30840000000001"/>
    <n v="746"/>
  </r>
  <r>
    <x v="3"/>
    <x v="46"/>
    <n v="29"/>
    <n v="3416.09"/>
    <n v="117.7962"/>
    <n v="747"/>
  </r>
  <r>
    <x v="5"/>
    <x v="42"/>
    <n v="27"/>
    <n v="3409.08"/>
    <n v="126.26220000000001"/>
    <n v="748"/>
  </r>
  <r>
    <x v="4"/>
    <x v="35"/>
    <n v="40"/>
    <n v="3401.94"/>
    <n v="85.048500000000004"/>
    <n v="749"/>
  </r>
  <r>
    <x v="4"/>
    <x v="31"/>
    <n v="40"/>
    <n v="3401.94"/>
    <n v="85.048500000000004"/>
    <n v="749"/>
  </r>
  <r>
    <x v="17"/>
    <x v="45"/>
    <n v="27"/>
    <n v="3389.6"/>
    <n v="125.5407"/>
    <n v="751"/>
  </r>
  <r>
    <x v="12"/>
    <x v="43"/>
    <n v="26"/>
    <n v="3377.39"/>
    <n v="129.89959999999999"/>
    <n v="752"/>
  </r>
  <r>
    <x v="7"/>
    <x v="15"/>
    <n v="40"/>
    <n v="3373.4"/>
    <n v="84.334999999999994"/>
    <n v="753"/>
  </r>
  <r>
    <x v="9"/>
    <x v="30"/>
    <n v="30"/>
    <n v="3370.33"/>
    <n v="112.3443"/>
    <n v="754"/>
  </r>
  <r>
    <x v="13"/>
    <x v="18"/>
    <n v="28"/>
    <n v="3361.73"/>
    <n v="120.06180000000001"/>
    <n v="755"/>
  </r>
  <r>
    <x v="16"/>
    <x v="29"/>
    <n v="35"/>
    <n v="3361.42"/>
    <n v="96.040599999999998"/>
    <n v="756"/>
  </r>
  <r>
    <x v="16"/>
    <x v="30"/>
    <n v="35"/>
    <n v="3361.42"/>
    <n v="96.040599999999998"/>
    <n v="756"/>
  </r>
  <r>
    <x v="3"/>
    <x v="15"/>
    <n v="45"/>
    <n v="3329.9"/>
    <n v="73.997799999999998"/>
    <n v="758"/>
  </r>
  <r>
    <x v="3"/>
    <x v="17"/>
    <n v="45"/>
    <n v="3329.9"/>
    <n v="73.997799999999998"/>
    <n v="758"/>
  </r>
  <r>
    <x v="2"/>
    <x v="20"/>
    <n v="34"/>
    <n v="3323.51"/>
    <n v="97.750299999999996"/>
    <n v="760"/>
  </r>
  <r>
    <x v="17"/>
    <x v="47"/>
    <n v="28"/>
    <n v="3299.69"/>
    <n v="117.84610000000001"/>
    <n v="761"/>
  </r>
  <r>
    <x v="12"/>
    <x v="44"/>
    <n v="22"/>
    <n v="3296.44"/>
    <n v="149.8382"/>
    <n v="762"/>
  </r>
  <r>
    <x v="2"/>
    <x v="39"/>
    <n v="22"/>
    <n v="3288.36"/>
    <n v="149.4709"/>
    <n v="763"/>
  </r>
  <r>
    <x v="12"/>
    <x v="38"/>
    <n v="28"/>
    <n v="3287.2"/>
    <n v="117.4"/>
    <n v="764"/>
  </r>
  <r>
    <x v="7"/>
    <x v="43"/>
    <n v="24"/>
    <n v="3286.22"/>
    <n v="136.92580000000001"/>
    <n v="765"/>
  </r>
  <r>
    <x v="11"/>
    <x v="40"/>
    <n v="28"/>
    <n v="3278.07"/>
    <n v="117.07389999999999"/>
    <n v="766"/>
  </r>
  <r>
    <x v="17"/>
    <x v="39"/>
    <n v="21"/>
    <n v="3262.46"/>
    <n v="155.3552"/>
    <n v="767"/>
  </r>
  <r>
    <x v="14"/>
    <x v="26"/>
    <n v="30"/>
    <n v="3257.08"/>
    <n v="108.5693"/>
    <n v="768"/>
  </r>
  <r>
    <x v="16"/>
    <x v="46"/>
    <n v="23"/>
    <n v="3255.67"/>
    <n v="141.55090000000001"/>
    <n v="769"/>
  </r>
  <r>
    <x v="9"/>
    <x v="39"/>
    <n v="21"/>
    <n v="3248.38"/>
    <n v="154.6848"/>
    <n v="770"/>
  </r>
  <r>
    <x v="11"/>
    <x v="35"/>
    <n v="39"/>
    <n v="3244.39"/>
    <n v="83.189499999999995"/>
    <n v="771"/>
  </r>
  <r>
    <x v="14"/>
    <x v="43"/>
    <n v="29"/>
    <n v="3197.3"/>
    <n v="110.2517"/>
    <n v="772"/>
  </r>
  <r>
    <x v="7"/>
    <x v="17"/>
    <n v="38"/>
    <n v="3181.05"/>
    <n v="83.711799999999997"/>
    <n v="773"/>
  </r>
  <r>
    <x v="3"/>
    <x v="43"/>
    <n v="26"/>
    <n v="3168.55"/>
    <n v="121.8673"/>
    <n v="774"/>
  </r>
  <r>
    <x v="12"/>
    <x v="25"/>
    <n v="34"/>
    <n v="3167.21"/>
    <n v="93.153199999999998"/>
    <n v="775"/>
  </r>
  <r>
    <x v="2"/>
    <x v="45"/>
    <n v="27"/>
    <n v="3160.01"/>
    <n v="117.03740000000001"/>
    <n v="776"/>
  </r>
  <r>
    <x v="17"/>
    <x v="46"/>
    <n v="28"/>
    <n v="3156.59"/>
    <n v="112.7354"/>
    <n v="777"/>
  </r>
  <r>
    <x v="10"/>
    <x v="16"/>
    <n v="35"/>
    <n v="3141.6"/>
    <n v="89.76"/>
    <n v="778"/>
  </r>
  <r>
    <x v="10"/>
    <x v="14"/>
    <n v="35"/>
    <n v="3141.6"/>
    <n v="89.76"/>
    <n v="778"/>
  </r>
  <r>
    <x v="10"/>
    <x v="37"/>
    <n v="19"/>
    <n v="3119.67"/>
    <n v="164.19319999999999"/>
    <n v="780"/>
  </r>
  <r>
    <x v="8"/>
    <x v="47"/>
    <n v="32"/>
    <n v="3102.97"/>
    <n v="96.967799999999997"/>
    <n v="781"/>
  </r>
  <r>
    <x v="16"/>
    <x v="40"/>
    <n v="39"/>
    <n v="3084.33"/>
    <n v="79.085400000000007"/>
    <n v="782"/>
  </r>
  <r>
    <x v="11"/>
    <x v="41"/>
    <n v="25"/>
    <n v="3075.55"/>
    <n v="123.02200000000001"/>
    <n v="783"/>
  </r>
  <r>
    <x v="3"/>
    <x v="26"/>
    <n v="31"/>
    <n v="3054.7"/>
    <n v="98.538700000000006"/>
    <n v="784"/>
  </r>
  <r>
    <x v="15"/>
    <x v="37"/>
    <n v="25"/>
    <n v="3043.46"/>
    <n v="121.7384"/>
    <n v="785"/>
  </r>
  <r>
    <x v="13"/>
    <x v="25"/>
    <n v="23"/>
    <n v="3029.61"/>
    <n v="131.72219999999999"/>
    <n v="786"/>
  </r>
  <r>
    <x v="14"/>
    <x v="47"/>
    <n v="31"/>
    <n v="3015.57"/>
    <n v="97.276499999999999"/>
    <n v="787"/>
  </r>
  <r>
    <x v="13"/>
    <x v="21"/>
    <n v="41"/>
    <n v="3013.31"/>
    <n v="73.495400000000004"/>
    <n v="788"/>
  </r>
  <r>
    <x v="13"/>
    <x v="22"/>
    <n v="41"/>
    <n v="3013.31"/>
    <n v="73.495400000000004"/>
    <n v="788"/>
  </r>
  <r>
    <x v="16"/>
    <x v="41"/>
    <n v="37"/>
    <n v="3005.49"/>
    <n v="81.229500000000002"/>
    <n v="790"/>
  </r>
  <r>
    <x v="15"/>
    <x v="43"/>
    <n v="35"/>
    <n v="2998.49"/>
    <n v="85.671099999999996"/>
    <n v="791"/>
  </r>
  <r>
    <x v="12"/>
    <x v="46"/>
    <n v="27"/>
    <n v="2970.66"/>
    <n v="110.0244"/>
    <n v="792"/>
  </r>
  <r>
    <x v="9"/>
    <x v="26"/>
    <n v="22"/>
    <n v="2963.11"/>
    <n v="134.68680000000001"/>
    <n v="793"/>
  </r>
  <r>
    <x v="5"/>
    <x v="45"/>
    <n v="25"/>
    <n v="2960.1"/>
    <n v="118.404"/>
    <n v="794"/>
  </r>
  <r>
    <x v="15"/>
    <x v="41"/>
    <n v="36"/>
    <n v="2927.3"/>
    <n v="81.313900000000004"/>
    <n v="795"/>
  </r>
  <r>
    <x v="15"/>
    <x v="18"/>
    <n v="23"/>
    <n v="2907.33"/>
    <n v="126.4057"/>
    <n v="796"/>
  </r>
  <r>
    <x v="3"/>
    <x v="35"/>
    <n v="48"/>
    <n v="2895.56"/>
    <n v="60.324199999999998"/>
    <n v="797"/>
  </r>
  <r>
    <x v="7"/>
    <x v="38"/>
    <n v="31"/>
    <n v="2872.95"/>
    <n v="92.675799999999995"/>
    <n v="798"/>
  </r>
  <r>
    <x v="6"/>
    <x v="47"/>
    <n v="23"/>
    <n v="2861.29"/>
    <n v="124.40389999999999"/>
    <n v="799"/>
  </r>
  <r>
    <x v="3"/>
    <x v="14"/>
    <n v="42"/>
    <n v="2840.5"/>
    <n v="67.631"/>
    <n v="800"/>
  </r>
  <r>
    <x v="3"/>
    <x v="16"/>
    <n v="41"/>
    <n v="2833.5"/>
    <n v="69.109800000000007"/>
    <n v="801"/>
  </r>
  <r>
    <x v="2"/>
    <x v="23"/>
    <n v="43"/>
    <n v="2822.45"/>
    <n v="65.638400000000004"/>
    <n v="802"/>
  </r>
  <r>
    <x v="4"/>
    <x v="37"/>
    <n v="30"/>
    <n v="2787.91"/>
    <n v="92.930300000000003"/>
    <n v="803"/>
  </r>
  <r>
    <x v="9"/>
    <x v="43"/>
    <n v="21"/>
    <n v="2775.06"/>
    <n v="132.14570000000001"/>
    <n v="804"/>
  </r>
  <r>
    <x v="2"/>
    <x v="43"/>
    <n v="26"/>
    <n v="2772.5"/>
    <n v="106.63460000000001"/>
    <n v="805"/>
  </r>
  <r>
    <x v="7"/>
    <x v="46"/>
    <n v="22"/>
    <n v="2770.37"/>
    <n v="125.9259"/>
    <n v="806"/>
  </r>
  <r>
    <x v="2"/>
    <x v="27"/>
    <n v="40"/>
    <n v="2741.31"/>
    <n v="68.532799999999995"/>
    <n v="807"/>
  </r>
  <r>
    <x v="16"/>
    <x v="45"/>
    <n v="33"/>
    <n v="2692.04"/>
    <n v="81.576999999999998"/>
    <n v="808"/>
  </r>
  <r>
    <x v="3"/>
    <x v="44"/>
    <n v="28"/>
    <n v="2679.21"/>
    <n v="95.686099999999996"/>
    <n v="809"/>
  </r>
  <r>
    <x v="12"/>
    <x v="18"/>
    <n v="27"/>
    <n v="2672.12"/>
    <n v="98.967399999999998"/>
    <n v="810"/>
  </r>
  <r>
    <x v="15"/>
    <x v="42"/>
    <n v="24"/>
    <n v="2646.25"/>
    <n v="110.2604"/>
    <n v="811"/>
  </r>
  <r>
    <x v="16"/>
    <x v="18"/>
    <n v="28"/>
    <n v="2619.25"/>
    <n v="93.544600000000003"/>
    <n v="812"/>
  </r>
  <r>
    <x v="5"/>
    <x v="40"/>
    <n v="43"/>
    <n v="2613.06"/>
    <n v="60.768799999999999"/>
    <n v="813"/>
  </r>
  <r>
    <x v="13"/>
    <x v="38"/>
    <n v="24"/>
    <n v="2611.71"/>
    <n v="108.82129999999999"/>
    <n v="814"/>
  </r>
  <r>
    <x v="5"/>
    <x v="38"/>
    <n v="32"/>
    <n v="2589.42"/>
    <n v="80.919399999999996"/>
    <n v="815"/>
  </r>
  <r>
    <x v="5"/>
    <x v="41"/>
    <n v="41"/>
    <n v="2583.6"/>
    <n v="63.014600000000002"/>
    <n v="816"/>
  </r>
  <r>
    <x v="9"/>
    <x v="42"/>
    <n v="19"/>
    <n v="2576.12"/>
    <n v="135.58529999999999"/>
    <n v="817"/>
  </r>
  <r>
    <x v="14"/>
    <x v="37"/>
    <n v="28"/>
    <n v="2530.4499999999998"/>
    <n v="90.373199999999997"/>
    <n v="818"/>
  </r>
  <r>
    <x v="4"/>
    <x v="42"/>
    <n v="28"/>
    <n v="2517.33"/>
    <n v="89.904600000000002"/>
    <n v="819"/>
  </r>
  <r>
    <x v="15"/>
    <x v="44"/>
    <n v="30"/>
    <n v="2509.4299999999998"/>
    <n v="83.6477"/>
    <n v="820"/>
  </r>
  <r>
    <x v="14"/>
    <x v="38"/>
    <n v="23"/>
    <n v="2509.38"/>
    <n v="109.1035"/>
    <n v="821"/>
  </r>
  <r>
    <x v="7"/>
    <x v="19"/>
    <n v="31"/>
    <n v="2502.89"/>
    <n v="80.738399999999999"/>
    <n v="822"/>
  </r>
  <r>
    <x v="7"/>
    <x v="44"/>
    <n v="24"/>
    <n v="2482.86"/>
    <n v="103.4525"/>
    <n v="823"/>
  </r>
  <r>
    <x v="5"/>
    <x v="43"/>
    <n v="38"/>
    <n v="2456.09"/>
    <n v="64.633899999999997"/>
    <n v="824"/>
  </r>
  <r>
    <x v="16"/>
    <x v="38"/>
    <n v="24"/>
    <n v="2440.23"/>
    <n v="101.6763"/>
    <n v="825"/>
  </r>
  <r>
    <x v="7"/>
    <x v="20"/>
    <n v="27"/>
    <n v="2409.9499999999998"/>
    <n v="89.257400000000004"/>
    <n v="826"/>
  </r>
  <r>
    <x v="12"/>
    <x v="37"/>
    <n v="31"/>
    <n v="2407.46"/>
    <n v="77.66"/>
    <n v="827"/>
  </r>
  <r>
    <x v="2"/>
    <x v="34"/>
    <n v="42"/>
    <n v="2388.94"/>
    <n v="56.8795"/>
    <n v="828"/>
  </r>
  <r>
    <x v="3"/>
    <x v="42"/>
    <n v="28"/>
    <n v="2363.81"/>
    <n v="84.421800000000005"/>
    <n v="829"/>
  </r>
  <r>
    <x v="6"/>
    <x v="38"/>
    <n v="30"/>
    <n v="2355.62"/>
    <n v="78.520700000000005"/>
    <n v="830"/>
  </r>
  <r>
    <x v="3"/>
    <x v="47"/>
    <n v="30"/>
    <n v="2319.4699999999998"/>
    <n v="77.315700000000007"/>
    <n v="831"/>
  </r>
  <r>
    <x v="7"/>
    <x v="47"/>
    <n v="24"/>
    <n v="2308.58"/>
    <n v="96.190799999999996"/>
    <n v="832"/>
  </r>
  <r>
    <x v="8"/>
    <x v="25"/>
    <n v="29"/>
    <n v="2308.23"/>
    <n v="79.594099999999997"/>
    <n v="833"/>
  </r>
  <r>
    <x v="2"/>
    <x v="36"/>
    <n v="39"/>
    <n v="2306.34"/>
    <n v="59.136899999999997"/>
    <n v="834"/>
  </r>
  <r>
    <x v="6"/>
    <x v="46"/>
    <n v="28"/>
    <n v="2304.2199999999998"/>
    <n v="82.293599999999998"/>
    <n v="835"/>
  </r>
  <r>
    <x v="15"/>
    <x v="47"/>
    <n v="24"/>
    <n v="2302.33"/>
    <n v="95.930400000000006"/>
    <n v="836"/>
  </r>
  <r>
    <x v="5"/>
    <x v="12"/>
    <n v="37"/>
    <n v="2284.9499999999998"/>
    <n v="61.755400000000002"/>
    <n v="837"/>
  </r>
  <r>
    <x v="5"/>
    <x v="13"/>
    <n v="37"/>
    <n v="2284.9499999999998"/>
    <n v="61.755400000000002"/>
    <n v="837"/>
  </r>
  <r>
    <x v="7"/>
    <x v="42"/>
    <n v="20"/>
    <n v="2224.64"/>
    <n v="111.232"/>
    <n v="839"/>
  </r>
  <r>
    <x v="5"/>
    <x v="44"/>
    <n v="22"/>
    <n v="2220.23"/>
    <n v="100.9195"/>
    <n v="840"/>
  </r>
  <r>
    <x v="15"/>
    <x v="26"/>
    <n v="28"/>
    <n v="2217.29"/>
    <n v="79.188900000000004"/>
    <n v="841"/>
  </r>
  <r>
    <x v="10"/>
    <x v="44"/>
    <n v="28"/>
    <n v="2183.37"/>
    <n v="77.977500000000006"/>
    <n v="842"/>
  </r>
  <r>
    <x v="6"/>
    <x v="25"/>
    <n v="22"/>
    <n v="2170.4699999999998"/>
    <n v="98.657700000000006"/>
    <n v="843"/>
  </r>
  <r>
    <x v="10"/>
    <x v="46"/>
    <n v="26"/>
    <n v="2169.3000000000002"/>
    <n v="83.434600000000003"/>
    <n v="844"/>
  </r>
  <r>
    <x v="15"/>
    <x v="15"/>
    <n v="44"/>
    <n v="2153.1999999999998"/>
    <n v="48.936399999999999"/>
    <n v="845"/>
  </r>
  <r>
    <x v="15"/>
    <x v="17"/>
    <n v="43"/>
    <n v="2150.3200000000002"/>
    <n v="50.007399999999997"/>
    <n v="846"/>
  </r>
  <r>
    <x v="6"/>
    <x v="43"/>
    <n v="32"/>
    <n v="2133.83"/>
    <n v="66.682199999999995"/>
    <n v="847"/>
  </r>
  <r>
    <x v="14"/>
    <x v="42"/>
    <n v="28"/>
    <n v="2119.1999999999998"/>
    <n v="75.685699999999997"/>
    <n v="848"/>
  </r>
  <r>
    <x v="4"/>
    <x v="38"/>
    <n v="21"/>
    <n v="2012.61"/>
    <n v="95.8386"/>
    <n v="849"/>
  </r>
  <r>
    <x v="6"/>
    <x v="45"/>
    <n v="23"/>
    <n v="1923.82"/>
    <n v="83.644300000000001"/>
    <n v="850"/>
  </r>
  <r>
    <x v="13"/>
    <x v="46"/>
    <n v="28"/>
    <n v="1883.86"/>
    <n v="67.280699999999996"/>
    <n v="851"/>
  </r>
  <r>
    <x v="7"/>
    <x v="37"/>
    <n v="25"/>
    <n v="1883.08"/>
    <n v="75.3232"/>
    <n v="852"/>
  </r>
  <r>
    <x v="12"/>
    <x v="42"/>
    <n v="19"/>
    <n v="1831.94"/>
    <n v="96.417900000000003"/>
    <n v="853"/>
  </r>
  <r>
    <x v="17"/>
    <x v="38"/>
    <n v="24"/>
    <n v="1807.47"/>
    <n v="75.311300000000003"/>
    <n v="854"/>
  </r>
  <r>
    <x v="11"/>
    <x v="42"/>
    <n v="25"/>
    <n v="1770.95"/>
    <n v="70.837999999999994"/>
    <n v="855"/>
  </r>
  <r>
    <x v="17"/>
    <x v="26"/>
    <n v="23"/>
    <n v="1740.98"/>
    <n v="75.694800000000001"/>
    <n v="856"/>
  </r>
  <r>
    <x v="14"/>
    <x v="39"/>
    <n v="26"/>
    <n v="1693.98"/>
    <n v="65.153099999999995"/>
    <n v="857"/>
  </r>
  <r>
    <x v="4"/>
    <x v="43"/>
    <n v="28"/>
    <n v="1679.98"/>
    <n v="59.999299999999998"/>
    <n v="858"/>
  </r>
  <r>
    <x v="14"/>
    <x v="18"/>
    <n v="31"/>
    <n v="1667.6"/>
    <n v="53.793500000000002"/>
    <n v="859"/>
  </r>
  <r>
    <x v="4"/>
    <x v="44"/>
    <n v="28"/>
    <n v="1592.4"/>
    <n v="56.871400000000001"/>
    <n v="860"/>
  </r>
  <r>
    <x v="10"/>
    <x v="47"/>
    <n v="29"/>
    <n v="1555.64"/>
    <n v="53.642800000000001"/>
    <n v="861"/>
  </r>
  <r>
    <x v="10"/>
    <x v="18"/>
    <n v="26"/>
    <n v="1493.62"/>
    <n v="57.446899999999999"/>
    <n v="862"/>
  </r>
  <r>
    <x v="8"/>
    <x v="26"/>
    <n v="20"/>
    <n v="1386.48"/>
    <n v="69.323999999999998"/>
    <n v="863"/>
  </r>
  <r>
    <x v="13"/>
    <x v="37"/>
    <n v="20"/>
    <n v="1222.07"/>
    <n v="61.103499999999997"/>
    <n v="8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9A643-1DBF-485A-8E59-15457AB4688D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Year">
  <location ref="A1:G6" firstHeaderRow="0" firstDataRow="1" firstDataCol="1"/>
  <pivotFields count="8">
    <pivotField axis="axisRow" showAll="0">
      <items count="5">
        <item x="0"/>
        <item x="1"/>
        <item x="2"/>
        <item x="3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Apparel" fld="1" baseField="0" baseItem="0" numFmtId="164"/>
    <dataField name=" Art Supplies" fld="2" baseField="0" baseItem="0" numFmtId="164"/>
    <dataField name=" Books" fld="3" baseField="0" baseItem="0" numFmtId="164"/>
    <dataField name=" Stationery" fld="4" baseField="0" baseItem="0" numFmtId="164"/>
    <dataField name=" Technology" fld="5" baseField="0" baseItem="0" numFmtId="164"/>
    <dataField name=" Textbooks" fld="6" baseField="0" baseItem="0" numFmtId="164"/>
  </dataFields>
  <formats count="4"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field="0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1654A-E5C3-42E2-B77E-06224BE69CF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">
  <location ref="A10:D923" firstHeaderRow="0" firstDataRow="1" firstDataCol="1"/>
  <pivotFields count="6">
    <pivotField axis="axisRow" showAll="0">
      <items count="19">
        <item x="8"/>
        <item x="9"/>
        <item x="14"/>
        <item x="7"/>
        <item x="0"/>
        <item x="11"/>
        <item x="3"/>
        <item x="10"/>
        <item x="1"/>
        <item x="5"/>
        <item x="2"/>
        <item x="4"/>
        <item x="13"/>
        <item x="17"/>
        <item x="16"/>
        <item x="6"/>
        <item x="12"/>
        <item x="15"/>
        <item t="default"/>
      </items>
    </pivotField>
    <pivotField axis="axisRow" showAll="0">
      <items count="49">
        <item x="46"/>
        <item x="37"/>
        <item x="44"/>
        <item x="45"/>
        <item x="25"/>
        <item x="39"/>
        <item x="26"/>
        <item x="18"/>
        <item x="47"/>
        <item x="43"/>
        <item x="42"/>
        <item x="38"/>
        <item x="21"/>
        <item x="20"/>
        <item x="40"/>
        <item x="33"/>
        <item x="29"/>
        <item x="35"/>
        <item x="34"/>
        <item x="12"/>
        <item x="16"/>
        <item x="24"/>
        <item x="27"/>
        <item x="15"/>
        <item x="19"/>
        <item x="41"/>
        <item x="32"/>
        <item x="30"/>
        <item x="31"/>
        <item x="36"/>
        <item x="13"/>
        <item x="14"/>
        <item x="28"/>
        <item x="23"/>
        <item x="17"/>
        <item x="22"/>
        <item x="2"/>
        <item x="9"/>
        <item x="8"/>
        <item x="11"/>
        <item x="6"/>
        <item x="10"/>
        <item x="3"/>
        <item x="5"/>
        <item x="7"/>
        <item x="0"/>
        <item x="1"/>
        <item x="4"/>
        <item t="default"/>
      </items>
    </pivotField>
    <pivotField dataField="1" showAll="0"/>
    <pivotField dataField="1" showAll="0"/>
    <pivotField dataField="1" showAll="0"/>
    <pivotField showAll="0"/>
  </pivotFields>
  <rowFields count="2">
    <field x="1"/>
    <field x="0"/>
  </rowFields>
  <rowItems count="9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3" baseField="0" baseItem="0"/>
    <dataField name="Average Revenue" fld="4" baseField="0" baseItem="0"/>
    <dataField name="Transactions" fld="2" baseField="0" baseItem="0"/>
  </dataFields>
  <formats count="4"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ED27F-48F3-48C4-B2AB-11193C4A750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Month">
  <location ref="A1:G14" firstHeaderRow="0" firstDataRow="1" firstDataCol="1"/>
  <pivotFields count="10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Apparel" fld="4" baseField="0" baseItem="0"/>
    <dataField name=" Art_Supplies" fld="5" baseField="0" baseItem="0"/>
    <dataField name=" Books" fld="6" baseField="0" baseItem="0"/>
    <dataField name=" Stationery" fld="7" baseField="0" baseItem="0"/>
    <dataField name=" Technology" fld="8" baseField="0" baseItem="0"/>
    <dataField name=" Textbooks" fld="9" baseField="0" baseItem="0"/>
  </dataFields>
  <formats count="4"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field="0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2D40C-07DD-4587-ADF8-82A04514AEB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A1:G14" firstHeaderRow="0" firstDataRow="1" firstDataCol="1"/>
  <pivotFields count="10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Apparel" fld="4" baseField="0" baseItem="0"/>
    <dataField name=" Art_Supplies" fld="5" baseField="0" baseItem="0"/>
    <dataField name=" Books" fld="6" baseField="0" baseItem="0"/>
    <dataField name=" Stationery" fld="7" baseField="0" baseItem="0"/>
    <dataField name=" Technology" fld="8" baseField="0" baseItem="0"/>
    <dataField name=" Textbooks" fld="9" baseField="0" baseItem="0"/>
  </dataFields>
  <formats count="4"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field="0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EA2B8-70DD-4276-ADCB-9D8652739314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A1:G14" firstHeaderRow="0" firstDataRow="1" firstDataCol="1"/>
  <pivotFields count="10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Apparel" fld="4" baseField="0" baseItem="0"/>
    <dataField name=" Books" fld="6" baseField="0" baseItem="0"/>
    <dataField name=" Art_Supplies" fld="5" baseField="0" baseItem="0"/>
    <dataField name=" Stationery" fld="7" baseField="0" baseItem="0"/>
    <dataField name=" Technology" fld="8" baseField="0" baseItem="0"/>
    <dataField name=" Textbooks" fld="9" baseField="0" baseItem="0"/>
  </dataFields>
  <formats count="4"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14CCB-F539-4D4E-83E9-3904FEBE5905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A1:G14" firstHeaderRow="0" firstDataRow="1" firstDataCol="1"/>
  <pivotFields count="10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Apparel" fld="4" baseField="0" baseItem="0"/>
    <dataField name=" Art_Supplies" fld="5" baseField="0" baseItem="0"/>
    <dataField name=" Books" fld="6" baseField="0" baseItem="0"/>
    <dataField name=" Stationery" fld="7" baseField="0" baseItem="0"/>
    <dataField name=" Technology" fld="8" baseField="0" baseItem="0"/>
    <dataField name=" Textbooks" fld="9" baseField="0" baseItem="0"/>
  </dataFields>
  <formats count="4"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B3058-3F4B-4730-9680-273E544DB8B0}" name="Table1" displayName="Table1" ref="A1:J50" totalsRowCount="1">
  <autoFilter ref="A1:J49" xr:uid="{F31B3058-3F4B-4730-9680-273E544DB8B0}"/>
  <tableColumns count="10">
    <tableColumn id="1" xr3:uid="{AB7170A7-6FAB-41EF-A9CD-633EC57C2C20}" name="Monthly_Sales" totalsRowLabel="Totals ="/>
    <tableColumn id="2" xr3:uid="{43C1D659-30E1-46C5-B907-73D2A50680FC}" name="Transactions" totalsRowFunction="custom" totalsRowCellStyle="Currency">
      <totalsRowFormula>SUM(Table1[Transactions])</totalsRowFormula>
    </tableColumn>
    <tableColumn id="3" xr3:uid="{B8413891-FB30-4869-BD2F-084363F37FD4}" name="Revenue" totalsRowFunction="custom" totalsRowCellStyle="Currency">
      <totalsRowFormula>SUM(Table1[Revenue])</totalsRowFormula>
    </tableColumn>
    <tableColumn id="4" xr3:uid="{D65C1A98-094F-4B6D-9AA8-255A5AD21B4A}" name="Average_Revenue" totalsRowFunction="custom" totalsRowCellStyle="Currency">
      <totalsRowFormula>SUM(Table1[Average_Revenue])</totalsRowFormula>
    </tableColumn>
    <tableColumn id="5" xr3:uid="{5F75902A-8EDE-43E4-A74B-158A15EDFB66}" name="Apparel" totalsRowFunction="custom" totalsRowCellStyle="Currency">
      <totalsRowFormula>SUM(Table1[Apparel])</totalsRowFormula>
    </tableColumn>
    <tableColumn id="6" xr3:uid="{712AB50A-3DA0-4943-B58E-7D130D4FEC4A}" name="Art_Supplies" totalsRowFunction="custom" totalsRowCellStyle="Currency">
      <totalsRowFormula>SUM(Table1[Art_Supplies])</totalsRowFormula>
    </tableColumn>
    <tableColumn id="7" xr3:uid="{D4D67140-E969-4A89-ACE0-86E46AA5A8F3}" name="Books" totalsRowFunction="custom" totalsRowCellStyle="Currency">
      <totalsRowFormula>SUM(Table1[Books])</totalsRowFormula>
    </tableColumn>
    <tableColumn id="8" xr3:uid="{89129C15-A413-4BC4-8C80-403F9C8C22E7}" name="Stationery" totalsRowFunction="custom" totalsRowCellStyle="Currency">
      <totalsRowFormula>SUM(Table1[Stationery])</totalsRowFormula>
    </tableColumn>
    <tableColumn id="9" xr3:uid="{C8CE5CA1-97A1-44B0-9166-D127D3EE46F2}" name="Technology" totalsRowFunction="custom" totalsRowCellStyle="Currency">
      <totalsRowFormula>SUM(Table1[Technology])</totalsRowFormula>
    </tableColumn>
    <tableColumn id="10" xr3:uid="{0C15951E-B736-4E2B-8C8A-C6DA3B27F05B}" name="Textbooks" totalsRowFunction="custom" totalsRowCellStyle="Currency">
      <totalsRowFormula>SUM(Table1[Textbooks])</totalsRow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4BB647-C46B-487A-A096-63012C5F1C55}" name="Table2" displayName="Table2" ref="A1:E5" totalsRowShown="0" headerRowDxfId="29" dataDxfId="27" headerRowBorderDxfId="28" tableBorderDxfId="26" totalsRowBorderDxfId="25">
  <autoFilter ref="A1:E5" xr:uid="{894BB647-C46B-487A-A096-63012C5F1C55}"/>
  <tableColumns count="5">
    <tableColumn id="1" xr3:uid="{024750FC-492B-4058-8E38-8F8B3C72BDF1}" name="Year" dataDxfId="24"/>
    <tableColumn id="2" xr3:uid="{F531851A-1CCC-41E4-A5AB-D7D2F0E212F5}" name="Total Transactions" dataDxfId="23"/>
    <tableColumn id="3" xr3:uid="{7BFAAE02-FFB0-4237-9F46-7E33905BE0A9}" name="Total Revenue" dataDxfId="22"/>
    <tableColumn id="4" xr3:uid="{708F9282-4A76-494E-93D6-C73185DF227C}" name="Avg Monthly Rev " dataDxfId="21"/>
    <tableColumn id="6" xr3:uid="{48B53B4F-2907-4F41-9FBC-A028E4FC542F}" name="Growth Per Year" dataDxfId="20">
      <calculatedColumnFormula>(C2-C1)/C1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B319-B73F-4D41-B356-6560698C40C5}">
  <dimension ref="A1:J50"/>
  <sheetViews>
    <sheetView workbookViewId="0">
      <pane ySplit="1" topLeftCell="A14" activePane="bottomLeft" state="frozen"/>
      <selection pane="bottomLeft" activeCell="D54" sqref="D54"/>
    </sheetView>
  </sheetViews>
  <sheetFormatPr defaultColWidth="14.81640625" defaultRowHeight="16" customHeight="1" x14ac:dyDescent="0.35"/>
  <sheetData>
    <row r="1" spans="1:10" ht="16" customHeight="1" x14ac:dyDescent="0.35">
      <c r="A1" t="s">
        <v>0</v>
      </c>
      <c r="B1" t="s">
        <v>58</v>
      </c>
      <c r="C1" t="s">
        <v>59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ht="16" customHeight="1" x14ac:dyDescent="0.35">
      <c r="A2" t="s">
        <v>8</v>
      </c>
      <c r="B2">
        <v>578</v>
      </c>
      <c r="C2">
        <v>77950.98</v>
      </c>
      <c r="D2">
        <v>134.86330000000001</v>
      </c>
      <c r="E2">
        <v>3632.4</v>
      </c>
      <c r="F2">
        <v>2283.52</v>
      </c>
      <c r="G2">
        <v>959.78</v>
      </c>
      <c r="H2">
        <v>1229.6600000000001</v>
      </c>
      <c r="I2">
        <v>51086.31</v>
      </c>
      <c r="J2">
        <v>18759.310000000001</v>
      </c>
    </row>
    <row r="3" spans="1:10" ht="16" customHeight="1" x14ac:dyDescent="0.35">
      <c r="A3" t="s">
        <v>9</v>
      </c>
      <c r="B3">
        <v>570</v>
      </c>
      <c r="C3">
        <v>80315.69</v>
      </c>
      <c r="D3">
        <v>140.90469999999999</v>
      </c>
      <c r="E3">
        <v>2199.75</v>
      </c>
      <c r="F3">
        <v>3224.79</v>
      </c>
      <c r="G3">
        <v>1244.9100000000001</v>
      </c>
      <c r="H3">
        <v>1028.28</v>
      </c>
      <c r="I3">
        <v>55437.16</v>
      </c>
      <c r="J3">
        <v>17180.8</v>
      </c>
    </row>
    <row r="4" spans="1:10" ht="16" customHeight="1" x14ac:dyDescent="0.35">
      <c r="A4" t="s">
        <v>10</v>
      </c>
      <c r="B4">
        <v>553</v>
      </c>
      <c r="C4">
        <v>82516.36</v>
      </c>
      <c r="D4">
        <v>149.2158</v>
      </c>
      <c r="E4">
        <v>3133.64</v>
      </c>
      <c r="F4">
        <v>2619.12</v>
      </c>
      <c r="G4">
        <v>1201.73</v>
      </c>
      <c r="H4">
        <v>1029.43</v>
      </c>
      <c r="I4">
        <v>59450.9</v>
      </c>
      <c r="J4">
        <v>15081.54</v>
      </c>
    </row>
    <row r="5" spans="1:10" ht="16" customHeight="1" x14ac:dyDescent="0.35">
      <c r="A5" t="s">
        <v>11</v>
      </c>
      <c r="B5">
        <v>571</v>
      </c>
      <c r="C5">
        <v>89350.31</v>
      </c>
      <c r="D5">
        <v>156.4804</v>
      </c>
      <c r="E5">
        <v>3189.07</v>
      </c>
      <c r="F5">
        <v>1931.28</v>
      </c>
      <c r="G5">
        <v>1121.48</v>
      </c>
      <c r="H5">
        <v>1069.98</v>
      </c>
      <c r="I5">
        <v>61067.94</v>
      </c>
      <c r="J5">
        <v>20970.560000000001</v>
      </c>
    </row>
    <row r="6" spans="1:10" ht="16" customHeight="1" x14ac:dyDescent="0.35">
      <c r="A6" t="s">
        <v>12</v>
      </c>
      <c r="B6">
        <v>610</v>
      </c>
      <c r="C6">
        <v>94892.89</v>
      </c>
      <c r="D6">
        <v>155.56209999999999</v>
      </c>
      <c r="E6">
        <v>3132.81</v>
      </c>
      <c r="F6">
        <v>3007</v>
      </c>
      <c r="G6">
        <v>734.89</v>
      </c>
      <c r="H6">
        <v>1101.3</v>
      </c>
      <c r="I6">
        <v>63897.67</v>
      </c>
      <c r="J6">
        <v>23019.22</v>
      </c>
    </row>
    <row r="7" spans="1:10" ht="16" customHeight="1" x14ac:dyDescent="0.35">
      <c r="A7" t="s">
        <v>13</v>
      </c>
      <c r="B7">
        <v>543</v>
      </c>
      <c r="C7">
        <v>86847.7</v>
      </c>
      <c r="D7">
        <v>159.94049999999999</v>
      </c>
      <c r="E7">
        <v>2927.67</v>
      </c>
      <c r="F7">
        <v>1726.3</v>
      </c>
      <c r="G7">
        <v>1230.96</v>
      </c>
      <c r="H7">
        <v>1077.8900000000001</v>
      </c>
      <c r="I7">
        <v>62870.8</v>
      </c>
      <c r="J7">
        <v>17014.080000000002</v>
      </c>
    </row>
    <row r="8" spans="1:10" ht="16" customHeight="1" x14ac:dyDescent="0.35">
      <c r="A8" t="s">
        <v>14</v>
      </c>
      <c r="B8">
        <v>600</v>
      </c>
      <c r="C8">
        <v>94048.49</v>
      </c>
      <c r="D8">
        <v>156.7475</v>
      </c>
      <c r="E8">
        <v>2881.63</v>
      </c>
      <c r="F8">
        <v>2879.83</v>
      </c>
      <c r="G8">
        <v>1250.28</v>
      </c>
      <c r="H8">
        <v>1076.22</v>
      </c>
      <c r="I8">
        <v>65916.14</v>
      </c>
      <c r="J8">
        <v>20044.39</v>
      </c>
    </row>
    <row r="9" spans="1:10" ht="16" customHeight="1" x14ac:dyDescent="0.35">
      <c r="A9" t="s">
        <v>15</v>
      </c>
      <c r="B9">
        <v>573</v>
      </c>
      <c r="C9">
        <v>87058.36</v>
      </c>
      <c r="D9">
        <v>151.93430000000001</v>
      </c>
      <c r="E9">
        <v>3582.97</v>
      </c>
      <c r="F9">
        <v>2447.0100000000002</v>
      </c>
      <c r="G9">
        <v>1111.02</v>
      </c>
      <c r="H9">
        <v>1159.4100000000001</v>
      </c>
      <c r="I9">
        <v>60144.88</v>
      </c>
      <c r="J9">
        <v>18613.07</v>
      </c>
    </row>
    <row r="10" spans="1:10" ht="16" customHeight="1" x14ac:dyDescent="0.35">
      <c r="A10" t="s">
        <v>16</v>
      </c>
      <c r="B10">
        <v>586</v>
      </c>
      <c r="C10">
        <v>84206.09</v>
      </c>
      <c r="D10">
        <v>143.69640000000001</v>
      </c>
      <c r="E10">
        <v>2942.9</v>
      </c>
      <c r="F10">
        <v>2788.04</v>
      </c>
      <c r="G10">
        <v>1645.85</v>
      </c>
      <c r="H10">
        <v>1087.8699999999999</v>
      </c>
      <c r="I10">
        <v>56611.33</v>
      </c>
      <c r="J10">
        <v>19130.099999999999</v>
      </c>
    </row>
    <row r="11" spans="1:10" ht="16" customHeight="1" x14ac:dyDescent="0.35">
      <c r="A11" t="s">
        <v>17</v>
      </c>
      <c r="B11">
        <v>613</v>
      </c>
      <c r="C11">
        <v>78706.960000000006</v>
      </c>
      <c r="D11">
        <v>128.3963</v>
      </c>
      <c r="E11">
        <v>3229.48</v>
      </c>
      <c r="F11">
        <v>2784.17</v>
      </c>
      <c r="G11">
        <v>1708.09</v>
      </c>
      <c r="H11">
        <v>1106.5</v>
      </c>
      <c r="I11">
        <v>48459.92</v>
      </c>
      <c r="J11">
        <v>21418.799999999999</v>
      </c>
    </row>
    <row r="12" spans="1:10" ht="16" customHeight="1" x14ac:dyDescent="0.35">
      <c r="A12" t="s">
        <v>18</v>
      </c>
      <c r="B12">
        <v>523</v>
      </c>
      <c r="C12">
        <v>76920.06</v>
      </c>
      <c r="D12">
        <v>147.07470000000001</v>
      </c>
      <c r="E12">
        <v>2541.9699999999998</v>
      </c>
      <c r="F12">
        <v>2190.59</v>
      </c>
      <c r="G12">
        <v>1407.12</v>
      </c>
      <c r="H12">
        <v>842.55</v>
      </c>
      <c r="I12">
        <v>48103.42</v>
      </c>
      <c r="J12">
        <v>21834.41</v>
      </c>
    </row>
    <row r="13" spans="1:10" ht="16" customHeight="1" x14ac:dyDescent="0.35">
      <c r="A13" t="s">
        <v>19</v>
      </c>
      <c r="B13">
        <v>584</v>
      </c>
      <c r="C13">
        <v>78541.63</v>
      </c>
      <c r="D13">
        <v>134.48910000000001</v>
      </c>
      <c r="E13">
        <v>3636.6</v>
      </c>
      <c r="F13">
        <v>2424.7199999999998</v>
      </c>
      <c r="G13">
        <v>1514.89</v>
      </c>
      <c r="H13">
        <v>1220.0899999999999</v>
      </c>
      <c r="I13">
        <v>52331.32</v>
      </c>
      <c r="J13">
        <v>17414.009999999998</v>
      </c>
    </row>
    <row r="14" spans="1:10" ht="16" customHeight="1" x14ac:dyDescent="0.35">
      <c r="A14" t="s">
        <v>20</v>
      </c>
      <c r="B14">
        <v>855</v>
      </c>
      <c r="C14">
        <v>127097.69</v>
      </c>
      <c r="D14">
        <v>148.6523</v>
      </c>
      <c r="E14">
        <v>5488.06</v>
      </c>
      <c r="F14">
        <v>3347.87</v>
      </c>
      <c r="G14">
        <v>2102.9</v>
      </c>
      <c r="H14">
        <v>1840.79</v>
      </c>
      <c r="I14">
        <v>96270.720000000001</v>
      </c>
      <c r="J14">
        <v>18047.349999999999</v>
      </c>
    </row>
    <row r="15" spans="1:10" ht="16" customHeight="1" x14ac:dyDescent="0.35">
      <c r="A15" t="s">
        <v>21</v>
      </c>
      <c r="B15">
        <v>862</v>
      </c>
      <c r="C15">
        <v>118165.45</v>
      </c>
      <c r="D15">
        <v>137.0829</v>
      </c>
      <c r="E15">
        <v>5924</v>
      </c>
      <c r="F15">
        <v>4884.8500000000004</v>
      </c>
      <c r="G15">
        <v>1325.86</v>
      </c>
      <c r="H15">
        <v>1953.7</v>
      </c>
      <c r="I15">
        <v>85240.05</v>
      </c>
      <c r="J15">
        <v>18836.990000000002</v>
      </c>
    </row>
    <row r="16" spans="1:10" ht="16" customHeight="1" x14ac:dyDescent="0.35">
      <c r="A16" t="s">
        <v>22</v>
      </c>
      <c r="B16">
        <v>828</v>
      </c>
      <c r="C16">
        <v>113336.1</v>
      </c>
      <c r="D16">
        <v>136.8793</v>
      </c>
      <c r="E16">
        <v>5457.45</v>
      </c>
      <c r="F16">
        <v>3936.12</v>
      </c>
      <c r="G16">
        <v>1915.66</v>
      </c>
      <c r="H16">
        <v>1852.99</v>
      </c>
      <c r="I16">
        <v>80893.27</v>
      </c>
      <c r="J16">
        <v>19280.61</v>
      </c>
    </row>
    <row r="17" spans="1:10" ht="16" customHeight="1" x14ac:dyDescent="0.35">
      <c r="A17" t="s">
        <v>23</v>
      </c>
      <c r="B17">
        <v>959</v>
      </c>
      <c r="C17">
        <v>131835.32999999999</v>
      </c>
      <c r="D17">
        <v>137.4717</v>
      </c>
      <c r="E17">
        <v>6244.63</v>
      </c>
      <c r="F17">
        <v>5120.7700000000004</v>
      </c>
      <c r="G17">
        <v>2503.3200000000002</v>
      </c>
      <c r="H17">
        <v>2176.7399999999998</v>
      </c>
      <c r="I17">
        <v>95946.71</v>
      </c>
      <c r="J17">
        <v>19843.16</v>
      </c>
    </row>
    <row r="18" spans="1:10" ht="16" customHeight="1" x14ac:dyDescent="0.35">
      <c r="A18" t="s">
        <v>24</v>
      </c>
      <c r="B18">
        <v>849</v>
      </c>
      <c r="C18">
        <v>126201.3</v>
      </c>
      <c r="D18">
        <v>148.64699999999999</v>
      </c>
      <c r="E18">
        <v>5369.74</v>
      </c>
      <c r="F18">
        <v>4624.12</v>
      </c>
      <c r="G18">
        <v>2034.94</v>
      </c>
      <c r="H18">
        <v>1628.7</v>
      </c>
      <c r="I18">
        <v>92938.97</v>
      </c>
      <c r="J18">
        <v>19604.830000000002</v>
      </c>
    </row>
    <row r="19" spans="1:10" ht="16" customHeight="1" x14ac:dyDescent="0.35">
      <c r="A19" t="s">
        <v>25</v>
      </c>
      <c r="B19">
        <v>841</v>
      </c>
      <c r="C19">
        <v>110745.7</v>
      </c>
      <c r="D19">
        <v>131.68340000000001</v>
      </c>
      <c r="E19">
        <v>5570.79</v>
      </c>
      <c r="F19">
        <v>3907.66</v>
      </c>
      <c r="G19">
        <v>2107.58</v>
      </c>
      <c r="H19">
        <v>1598.18</v>
      </c>
      <c r="I19">
        <v>75351.12</v>
      </c>
      <c r="J19">
        <v>22210.37</v>
      </c>
    </row>
    <row r="20" spans="1:10" ht="16" customHeight="1" x14ac:dyDescent="0.35">
      <c r="A20" t="s">
        <v>26</v>
      </c>
      <c r="B20">
        <v>942</v>
      </c>
      <c r="C20">
        <v>137070.84</v>
      </c>
      <c r="D20">
        <v>145.5104</v>
      </c>
      <c r="E20">
        <v>6184.36</v>
      </c>
      <c r="F20">
        <v>5720.6</v>
      </c>
      <c r="G20">
        <v>1641.01</v>
      </c>
      <c r="H20">
        <v>1642.36</v>
      </c>
      <c r="I20">
        <v>94947.86</v>
      </c>
      <c r="J20">
        <v>26934.65</v>
      </c>
    </row>
    <row r="21" spans="1:10" ht="16" customHeight="1" x14ac:dyDescent="0.35">
      <c r="A21" t="s">
        <v>27</v>
      </c>
      <c r="B21">
        <v>949</v>
      </c>
      <c r="C21">
        <v>132936.24</v>
      </c>
      <c r="D21">
        <v>140.08029999999999</v>
      </c>
      <c r="E21">
        <v>5650.73</v>
      </c>
      <c r="F21">
        <v>4775.3999999999996</v>
      </c>
      <c r="G21">
        <v>2003.58</v>
      </c>
      <c r="H21">
        <v>1875.11</v>
      </c>
      <c r="I21">
        <v>89396.94</v>
      </c>
      <c r="J21">
        <v>29234.48</v>
      </c>
    </row>
    <row r="22" spans="1:10" ht="16" customHeight="1" x14ac:dyDescent="0.35">
      <c r="A22" t="s">
        <v>28</v>
      </c>
      <c r="B22">
        <v>849</v>
      </c>
      <c r="C22">
        <v>137022.6</v>
      </c>
      <c r="D22">
        <v>161.3929</v>
      </c>
      <c r="E22">
        <v>4982.97</v>
      </c>
      <c r="F22">
        <v>3702.86</v>
      </c>
      <c r="G22">
        <v>1869.67</v>
      </c>
      <c r="H22">
        <v>1510.31</v>
      </c>
      <c r="I22">
        <v>95429.33</v>
      </c>
      <c r="J22">
        <v>29527.46</v>
      </c>
    </row>
    <row r="23" spans="1:10" ht="16" customHeight="1" x14ac:dyDescent="0.35">
      <c r="A23" t="s">
        <v>29</v>
      </c>
      <c r="B23">
        <v>844</v>
      </c>
      <c r="C23">
        <v>118913.3</v>
      </c>
      <c r="D23">
        <v>140.89250000000001</v>
      </c>
      <c r="E23">
        <v>4774.92</v>
      </c>
      <c r="F23">
        <v>3819.51</v>
      </c>
      <c r="G23">
        <v>1726.41</v>
      </c>
      <c r="H23">
        <v>1710.44</v>
      </c>
      <c r="I23">
        <v>83385.919999999998</v>
      </c>
      <c r="J23">
        <v>23496.1</v>
      </c>
    </row>
    <row r="24" spans="1:10" ht="16" customHeight="1" x14ac:dyDescent="0.35">
      <c r="A24" t="s">
        <v>30</v>
      </c>
      <c r="B24">
        <v>891</v>
      </c>
      <c r="C24">
        <v>122127.52</v>
      </c>
      <c r="D24">
        <v>137.06790000000001</v>
      </c>
      <c r="E24">
        <v>5208.09</v>
      </c>
      <c r="F24">
        <v>3735</v>
      </c>
      <c r="G24">
        <v>2262.5700000000002</v>
      </c>
      <c r="H24">
        <v>1782.42</v>
      </c>
      <c r="I24">
        <v>81940.25</v>
      </c>
      <c r="J24">
        <v>27199.19</v>
      </c>
    </row>
    <row r="25" spans="1:10" ht="16" customHeight="1" x14ac:dyDescent="0.35">
      <c r="A25" t="s">
        <v>31</v>
      </c>
      <c r="B25">
        <v>911</v>
      </c>
      <c r="C25">
        <v>112438.65</v>
      </c>
      <c r="D25">
        <v>123.4233</v>
      </c>
      <c r="E25">
        <v>5960.22</v>
      </c>
      <c r="F25">
        <v>4179.6899999999996</v>
      </c>
      <c r="G25">
        <v>1860.21</v>
      </c>
      <c r="H25">
        <v>1918.14</v>
      </c>
      <c r="I25">
        <v>70025.240000000005</v>
      </c>
      <c r="J25">
        <v>28495.15</v>
      </c>
    </row>
    <row r="26" spans="1:10" ht="16" customHeight="1" x14ac:dyDescent="0.35">
      <c r="A26" t="s">
        <v>32</v>
      </c>
      <c r="B26">
        <v>959</v>
      </c>
      <c r="C26">
        <v>130507.83</v>
      </c>
      <c r="D26">
        <v>136.0874</v>
      </c>
      <c r="E26">
        <v>6636.16</v>
      </c>
      <c r="F26">
        <v>5427.52</v>
      </c>
      <c r="G26">
        <v>1487.43</v>
      </c>
      <c r="H26">
        <v>2144.59</v>
      </c>
      <c r="I26">
        <v>94414.21</v>
      </c>
      <c r="J26">
        <v>20397.919999999998</v>
      </c>
    </row>
    <row r="27" spans="1:10" ht="16" customHeight="1" x14ac:dyDescent="0.35">
      <c r="A27" t="s">
        <v>33</v>
      </c>
      <c r="B27">
        <v>764</v>
      </c>
      <c r="C27">
        <v>104570.81</v>
      </c>
      <c r="D27">
        <v>136.87280000000001</v>
      </c>
      <c r="E27">
        <v>4979.7700000000004</v>
      </c>
      <c r="F27">
        <v>3554.75</v>
      </c>
      <c r="G27">
        <v>1801.61</v>
      </c>
      <c r="H27">
        <v>1732.58</v>
      </c>
      <c r="I27">
        <v>73898.37</v>
      </c>
      <c r="J27">
        <v>18603.73</v>
      </c>
    </row>
    <row r="28" spans="1:10" ht="16" customHeight="1" x14ac:dyDescent="0.35">
      <c r="A28" t="s">
        <v>34</v>
      </c>
      <c r="B28">
        <v>989</v>
      </c>
      <c r="C28">
        <v>133808.20000000001</v>
      </c>
      <c r="D28">
        <v>135.29650000000001</v>
      </c>
      <c r="E28">
        <v>6553.73</v>
      </c>
      <c r="F28">
        <v>5314.94</v>
      </c>
      <c r="G28">
        <v>2503.3200000000002</v>
      </c>
      <c r="H28">
        <v>2265.29</v>
      </c>
      <c r="I28">
        <v>96788</v>
      </c>
      <c r="J28">
        <v>20382.919999999998</v>
      </c>
    </row>
    <row r="29" spans="1:10" ht="16" customHeight="1" x14ac:dyDescent="0.35">
      <c r="A29" t="s">
        <v>35</v>
      </c>
      <c r="B29">
        <v>819</v>
      </c>
      <c r="C29">
        <v>124228.43</v>
      </c>
      <c r="D29">
        <v>151.6831</v>
      </c>
      <c r="E29">
        <v>5060.6400000000003</v>
      </c>
      <c r="F29">
        <v>4429.95</v>
      </c>
      <c r="G29">
        <v>2034.94</v>
      </c>
      <c r="H29">
        <v>1540.15</v>
      </c>
      <c r="I29">
        <v>92097.68</v>
      </c>
      <c r="J29">
        <v>19065.07</v>
      </c>
    </row>
    <row r="30" spans="1:10" ht="16" customHeight="1" x14ac:dyDescent="0.35">
      <c r="A30" t="s">
        <v>36</v>
      </c>
      <c r="B30">
        <v>869</v>
      </c>
      <c r="C30">
        <v>116437.33</v>
      </c>
      <c r="D30">
        <v>133.99</v>
      </c>
      <c r="E30">
        <v>5626.71</v>
      </c>
      <c r="F30">
        <v>4105.8599999999997</v>
      </c>
      <c r="G30">
        <v>2176.4</v>
      </c>
      <c r="H30">
        <v>1640.71</v>
      </c>
      <c r="I30">
        <v>80014.16</v>
      </c>
      <c r="J30">
        <v>22873.49</v>
      </c>
    </row>
    <row r="31" spans="1:10" ht="16" customHeight="1" x14ac:dyDescent="0.35">
      <c r="A31" t="s">
        <v>37</v>
      </c>
      <c r="B31">
        <v>914</v>
      </c>
      <c r="C31">
        <v>131379.21</v>
      </c>
      <c r="D31">
        <v>143.74090000000001</v>
      </c>
      <c r="E31">
        <v>6128.44</v>
      </c>
      <c r="F31">
        <v>5522.4</v>
      </c>
      <c r="G31">
        <v>1572.19</v>
      </c>
      <c r="H31">
        <v>1599.83</v>
      </c>
      <c r="I31">
        <v>90284.82</v>
      </c>
      <c r="J31">
        <v>26271.53</v>
      </c>
    </row>
    <row r="32" spans="1:10" ht="16" customHeight="1" x14ac:dyDescent="0.35">
      <c r="A32" t="s">
        <v>38</v>
      </c>
      <c r="B32">
        <v>949</v>
      </c>
      <c r="C32">
        <v>132936.24</v>
      </c>
      <c r="D32">
        <v>140.08029999999999</v>
      </c>
      <c r="E32">
        <v>5650.73</v>
      </c>
      <c r="F32">
        <v>4775.3999999999996</v>
      </c>
      <c r="G32">
        <v>2003.58</v>
      </c>
      <c r="H32">
        <v>1875.11</v>
      </c>
      <c r="I32">
        <v>89396.94</v>
      </c>
      <c r="J32">
        <v>29234.48</v>
      </c>
    </row>
    <row r="33" spans="1:10" ht="16" customHeight="1" x14ac:dyDescent="0.35">
      <c r="A33" t="s">
        <v>39</v>
      </c>
      <c r="B33">
        <v>873</v>
      </c>
      <c r="C33">
        <v>139385.22</v>
      </c>
      <c r="D33">
        <v>159.66229999999999</v>
      </c>
      <c r="E33">
        <v>5089.51</v>
      </c>
      <c r="F33">
        <v>3805.57</v>
      </c>
      <c r="G33">
        <v>1890.03</v>
      </c>
      <c r="H33">
        <v>1560.65</v>
      </c>
      <c r="I33">
        <v>97266.3</v>
      </c>
      <c r="J33">
        <v>29773.16</v>
      </c>
    </row>
    <row r="34" spans="1:10" ht="16" customHeight="1" x14ac:dyDescent="0.35">
      <c r="A34" t="s">
        <v>40</v>
      </c>
      <c r="B34">
        <v>820</v>
      </c>
      <c r="C34">
        <v>116550.68</v>
      </c>
      <c r="D34">
        <v>142.13499999999999</v>
      </c>
      <c r="E34">
        <v>4668.38</v>
      </c>
      <c r="F34">
        <v>3716.8</v>
      </c>
      <c r="G34">
        <v>1706.05</v>
      </c>
      <c r="H34">
        <v>1660.1</v>
      </c>
      <c r="I34">
        <v>81548.95</v>
      </c>
      <c r="J34">
        <v>23250.400000000001</v>
      </c>
    </row>
    <row r="35" spans="1:10" ht="16" customHeight="1" x14ac:dyDescent="0.35">
      <c r="A35" t="s">
        <v>41</v>
      </c>
      <c r="B35">
        <v>917</v>
      </c>
      <c r="C35">
        <v>124204.24</v>
      </c>
      <c r="D35">
        <v>135.44630000000001</v>
      </c>
      <c r="E35">
        <v>5434.43</v>
      </c>
      <c r="F35">
        <v>3852.46</v>
      </c>
      <c r="G35">
        <v>2274.69</v>
      </c>
      <c r="H35">
        <v>1813.35</v>
      </c>
      <c r="I35">
        <v>82761.61</v>
      </c>
      <c r="J35">
        <v>28067.7</v>
      </c>
    </row>
    <row r="36" spans="1:10" ht="16" customHeight="1" x14ac:dyDescent="0.35">
      <c r="A36" t="s">
        <v>42</v>
      </c>
      <c r="B36">
        <v>885</v>
      </c>
      <c r="C36">
        <v>110361.93</v>
      </c>
      <c r="D36">
        <v>124.70269999999999</v>
      </c>
      <c r="E36">
        <v>5733.88</v>
      </c>
      <c r="F36">
        <v>4062.23</v>
      </c>
      <c r="G36">
        <v>1848.09</v>
      </c>
      <c r="H36">
        <v>1887.21</v>
      </c>
      <c r="I36">
        <v>69203.88</v>
      </c>
      <c r="J36">
        <v>27626.639999999999</v>
      </c>
    </row>
    <row r="37" spans="1:10" ht="16" customHeight="1" x14ac:dyDescent="0.35">
      <c r="A37" t="s">
        <v>43</v>
      </c>
      <c r="B37">
        <v>855</v>
      </c>
      <c r="C37">
        <v>127097.69</v>
      </c>
      <c r="D37">
        <v>148.6523</v>
      </c>
      <c r="E37">
        <v>5488.06</v>
      </c>
      <c r="F37">
        <v>3347.87</v>
      </c>
      <c r="G37">
        <v>2102.9</v>
      </c>
      <c r="H37">
        <v>1840.79</v>
      </c>
      <c r="I37">
        <v>96270.720000000001</v>
      </c>
      <c r="J37">
        <v>18047.349999999999</v>
      </c>
    </row>
    <row r="38" spans="1:10" ht="16" customHeight="1" x14ac:dyDescent="0.35">
      <c r="A38" t="s">
        <v>44</v>
      </c>
      <c r="B38">
        <v>1463</v>
      </c>
      <c r="C38">
        <v>181006.05</v>
      </c>
      <c r="D38">
        <v>123.7225</v>
      </c>
      <c r="E38">
        <v>11060.32</v>
      </c>
      <c r="F38">
        <v>9497.33</v>
      </c>
      <c r="G38">
        <v>3653.6</v>
      </c>
      <c r="H38">
        <v>3888.98</v>
      </c>
      <c r="I38">
        <v>138621.67000000001</v>
      </c>
      <c r="J38">
        <v>14284.15</v>
      </c>
    </row>
    <row r="39" spans="1:10" ht="16" customHeight="1" x14ac:dyDescent="0.35">
      <c r="A39" t="s">
        <v>45</v>
      </c>
      <c r="B39">
        <v>1210</v>
      </c>
      <c r="C39">
        <v>165726.20000000001</v>
      </c>
      <c r="D39">
        <v>136.96379999999999</v>
      </c>
      <c r="E39">
        <v>9009.19</v>
      </c>
      <c r="F39">
        <v>7018.05</v>
      </c>
      <c r="G39">
        <v>2918.32</v>
      </c>
      <c r="H39">
        <v>3067.68</v>
      </c>
      <c r="I39">
        <v>131269.65</v>
      </c>
      <c r="J39">
        <v>12443.31</v>
      </c>
    </row>
    <row r="40" spans="1:10" ht="16" customHeight="1" x14ac:dyDescent="0.35">
      <c r="A40" t="s">
        <v>46</v>
      </c>
      <c r="B40">
        <v>1409</v>
      </c>
      <c r="C40">
        <v>183144.31</v>
      </c>
      <c r="D40">
        <v>129.98179999999999</v>
      </c>
      <c r="E40">
        <v>9456.3700000000008</v>
      </c>
      <c r="F40">
        <v>8656.48</v>
      </c>
      <c r="G40">
        <v>3839.4</v>
      </c>
      <c r="H40">
        <v>3185.88</v>
      </c>
      <c r="I40">
        <v>136640.48000000001</v>
      </c>
      <c r="J40">
        <v>21365.7</v>
      </c>
    </row>
    <row r="41" spans="1:10" ht="16" customHeight="1" x14ac:dyDescent="0.35">
      <c r="A41" t="s">
        <v>47</v>
      </c>
      <c r="B41">
        <v>1800</v>
      </c>
      <c r="C41">
        <v>168853.86</v>
      </c>
      <c r="D41">
        <v>93.807699999999997</v>
      </c>
      <c r="E41">
        <v>12929.77</v>
      </c>
      <c r="F41">
        <v>11310.65</v>
      </c>
      <c r="G41">
        <v>4480.54</v>
      </c>
      <c r="H41">
        <v>4856.1899999999996</v>
      </c>
      <c r="I41">
        <v>102381.4</v>
      </c>
      <c r="J41">
        <v>32895.31</v>
      </c>
    </row>
    <row r="42" spans="1:10" ht="16" customHeight="1" x14ac:dyDescent="0.35">
      <c r="A42" t="s">
        <v>48</v>
      </c>
      <c r="B42">
        <v>1834</v>
      </c>
      <c r="C42">
        <v>186318.66</v>
      </c>
      <c r="D42">
        <v>101.59139999999999</v>
      </c>
      <c r="E42">
        <v>14308.74</v>
      </c>
      <c r="F42">
        <v>11924.65</v>
      </c>
      <c r="G42">
        <v>5341.24</v>
      </c>
      <c r="H42">
        <v>4509.87</v>
      </c>
      <c r="I42">
        <v>118406.29</v>
      </c>
      <c r="J42">
        <v>31827.87</v>
      </c>
    </row>
    <row r="43" spans="1:10" ht="16" customHeight="1" x14ac:dyDescent="0.35">
      <c r="A43" t="s">
        <v>49</v>
      </c>
      <c r="B43">
        <v>1755</v>
      </c>
      <c r="C43">
        <v>167246.64000000001</v>
      </c>
      <c r="D43">
        <v>95.297200000000004</v>
      </c>
      <c r="E43">
        <v>14545.92</v>
      </c>
      <c r="F43">
        <v>10772.21</v>
      </c>
      <c r="G43">
        <v>4565.54</v>
      </c>
      <c r="H43">
        <v>4538.95</v>
      </c>
      <c r="I43">
        <v>99140.64</v>
      </c>
      <c r="J43">
        <v>33683.379999999997</v>
      </c>
    </row>
    <row r="44" spans="1:10" ht="16" customHeight="1" x14ac:dyDescent="0.35">
      <c r="A44" t="s">
        <v>50</v>
      </c>
      <c r="B44">
        <v>1333</v>
      </c>
      <c r="C44">
        <v>204640.58</v>
      </c>
      <c r="D44">
        <v>153.5188</v>
      </c>
      <c r="E44">
        <v>9013.64</v>
      </c>
      <c r="F44">
        <v>6169.08</v>
      </c>
      <c r="G44">
        <v>3243.61</v>
      </c>
      <c r="H44">
        <v>2958.09</v>
      </c>
      <c r="I44">
        <v>156807.07999999999</v>
      </c>
      <c r="J44">
        <v>26449.08</v>
      </c>
    </row>
    <row r="45" spans="1:10" ht="16" customHeight="1" x14ac:dyDescent="0.35">
      <c r="A45" t="s">
        <v>51</v>
      </c>
      <c r="B45">
        <v>1339</v>
      </c>
      <c r="C45">
        <v>209591.63</v>
      </c>
      <c r="D45">
        <v>156.52850000000001</v>
      </c>
      <c r="E45">
        <v>8361.7999999999993</v>
      </c>
      <c r="F45">
        <v>7645.61</v>
      </c>
      <c r="G45">
        <v>2998.39</v>
      </c>
      <c r="H45">
        <v>2709.34</v>
      </c>
      <c r="I45">
        <v>161517.13</v>
      </c>
      <c r="J45">
        <v>26359.360000000001</v>
      </c>
    </row>
    <row r="46" spans="1:10" ht="16" customHeight="1" x14ac:dyDescent="0.35">
      <c r="A46" t="s">
        <v>52</v>
      </c>
      <c r="B46">
        <v>1304</v>
      </c>
      <c r="C46">
        <v>196114.94</v>
      </c>
      <c r="D46">
        <v>150.39490000000001</v>
      </c>
      <c r="E46">
        <v>8783.94</v>
      </c>
      <c r="F46">
        <v>7283.78</v>
      </c>
      <c r="G46">
        <v>3120.1</v>
      </c>
      <c r="H46">
        <v>2523.5700000000002</v>
      </c>
      <c r="I46">
        <v>150733.42000000001</v>
      </c>
      <c r="J46">
        <v>23670.13</v>
      </c>
    </row>
    <row r="47" spans="1:10" ht="16" customHeight="1" x14ac:dyDescent="0.35">
      <c r="A47" t="s">
        <v>53</v>
      </c>
      <c r="B47">
        <v>2093</v>
      </c>
      <c r="C47">
        <v>330762.82</v>
      </c>
      <c r="D47">
        <v>158.03290000000001</v>
      </c>
      <c r="E47">
        <v>13414.3</v>
      </c>
      <c r="F47">
        <v>10562.4</v>
      </c>
      <c r="G47">
        <v>4909.59</v>
      </c>
      <c r="H47">
        <v>4294.84</v>
      </c>
      <c r="I47">
        <v>257001.19</v>
      </c>
      <c r="J47">
        <v>40580.5</v>
      </c>
    </row>
    <row r="48" spans="1:10" ht="16" customHeight="1" x14ac:dyDescent="0.35">
      <c r="A48" t="s">
        <v>54</v>
      </c>
      <c r="B48">
        <v>1400</v>
      </c>
      <c r="C48">
        <v>220240.73</v>
      </c>
      <c r="D48">
        <v>157.31479999999999</v>
      </c>
      <c r="E48">
        <v>8109.53</v>
      </c>
      <c r="F48">
        <v>7482.93</v>
      </c>
      <c r="G48">
        <v>3130.52</v>
      </c>
      <c r="H48">
        <v>2916.37</v>
      </c>
      <c r="I48">
        <v>175539.20000000001</v>
      </c>
      <c r="J48">
        <v>23062.18</v>
      </c>
    </row>
    <row r="49" spans="1:10" ht="16" customHeight="1" x14ac:dyDescent="0.35">
      <c r="A49" t="s">
        <v>55</v>
      </c>
      <c r="B49">
        <v>1461</v>
      </c>
      <c r="C49">
        <v>208271.75</v>
      </c>
      <c r="D49">
        <v>142.55420000000001</v>
      </c>
      <c r="E49">
        <v>9668.7000000000007</v>
      </c>
      <c r="F49">
        <v>7612.67</v>
      </c>
      <c r="G49">
        <v>3320.63</v>
      </c>
      <c r="H49">
        <v>2953.44</v>
      </c>
      <c r="I49">
        <v>154975.51</v>
      </c>
      <c r="J49">
        <v>29740.799999999999</v>
      </c>
    </row>
    <row r="50" spans="1:10" ht="16" customHeight="1" x14ac:dyDescent="0.35">
      <c r="A50" t="s">
        <v>74</v>
      </c>
      <c r="B50" s="38">
        <f>SUM(Table1[Transactions])</f>
        <v>46498</v>
      </c>
      <c r="C50" s="38">
        <f>SUM(Table1[Revenue])</f>
        <v>6412632.2200000016</v>
      </c>
      <c r="D50" s="38">
        <f>SUM(Table1[Average_Revenue])</f>
        <v>6736.1470999999992</v>
      </c>
      <c r="E50" s="38">
        <f>SUM(Table1[Apparel])</f>
        <v>299559.51</v>
      </c>
      <c r="F50" s="38">
        <f>SUM(Table1[Art_Supplies])</f>
        <v>239912.40999999995</v>
      </c>
      <c r="G50" s="38">
        <f>SUM(Table1[Books])</f>
        <v>107407.42000000001</v>
      </c>
      <c r="H50" s="38">
        <f>SUM(Table1[Stationery])</f>
        <v>98482.62000000001</v>
      </c>
      <c r="I50" s="38">
        <f>SUM(Table1[Technology])</f>
        <v>4554123.47</v>
      </c>
      <c r="J50" s="38">
        <f>SUM(Table1[Textbooks])</f>
        <v>1113146.79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AB6E-BE6D-4158-996F-E4D9FF423C21}">
  <dimension ref="A1:G6"/>
  <sheetViews>
    <sheetView topLeftCell="A10" zoomScale="88" zoomScaleNormal="88" workbookViewId="0">
      <selection activeCell="M12" sqref="M12"/>
    </sheetView>
  </sheetViews>
  <sheetFormatPr defaultRowHeight="14.5" x14ac:dyDescent="0.35"/>
  <cols>
    <col min="1" max="1" width="12.453125" bestFit="1" customWidth="1"/>
    <col min="2" max="2" width="13.54296875" bestFit="1" customWidth="1"/>
    <col min="3" max="3" width="17.26953125" bestFit="1" customWidth="1"/>
    <col min="4" max="4" width="12" bestFit="1" customWidth="1"/>
    <col min="5" max="5" width="15.6328125" bestFit="1" customWidth="1"/>
    <col min="6" max="6" width="16.54296875" bestFit="1" customWidth="1"/>
    <col min="7" max="7" width="15.54296875" bestFit="1" customWidth="1"/>
    <col min="8" max="8" width="12.453125" bestFit="1" customWidth="1"/>
  </cols>
  <sheetData>
    <row r="1" spans="1:7" x14ac:dyDescent="0.35">
      <c r="A1" s="33" t="s">
        <v>66</v>
      </c>
      <c r="B1" s="33" t="s">
        <v>65</v>
      </c>
      <c r="C1" s="33" t="s">
        <v>75</v>
      </c>
      <c r="D1" s="33" t="s">
        <v>61</v>
      </c>
      <c r="E1" s="33" t="s">
        <v>62</v>
      </c>
      <c r="F1" s="33" t="s">
        <v>63</v>
      </c>
      <c r="G1" s="33" t="s">
        <v>64</v>
      </c>
    </row>
    <row r="2" spans="1:7" x14ac:dyDescent="0.35">
      <c r="A2" s="1" t="s">
        <v>68</v>
      </c>
      <c r="B2" s="17">
        <v>37030.89</v>
      </c>
      <c r="C2" s="17">
        <v>30306.37</v>
      </c>
      <c r="D2" s="17">
        <v>15131</v>
      </c>
      <c r="E2" s="17">
        <v>13029.18</v>
      </c>
      <c r="F2" s="17">
        <v>685377.79</v>
      </c>
      <c r="G2" s="17">
        <v>230480.29</v>
      </c>
    </row>
    <row r="3" spans="1:7" x14ac:dyDescent="0.35">
      <c r="A3" s="1" t="s">
        <v>69</v>
      </c>
      <c r="B3" s="17">
        <v>66815.960000000006</v>
      </c>
      <c r="C3" s="17">
        <v>51754.45</v>
      </c>
      <c r="D3" s="17">
        <v>23353.71</v>
      </c>
      <c r="E3" s="17">
        <v>21489.88</v>
      </c>
      <c r="F3" s="17">
        <v>1041766.38</v>
      </c>
      <c r="G3" s="17">
        <v>282710.34000000003</v>
      </c>
    </row>
    <row r="4" spans="1:7" x14ac:dyDescent="0.35">
      <c r="A4" s="1" t="s">
        <v>70</v>
      </c>
      <c r="B4" s="17">
        <v>67050.44</v>
      </c>
      <c r="C4" s="17">
        <v>51915.75</v>
      </c>
      <c r="D4" s="17">
        <v>23401.23</v>
      </c>
      <c r="E4" s="17">
        <v>21560.36</v>
      </c>
      <c r="F4" s="17">
        <v>1043945.64</v>
      </c>
      <c r="G4" s="17">
        <v>283594.39</v>
      </c>
    </row>
    <row r="5" spans="1:7" x14ac:dyDescent="0.35">
      <c r="A5" s="1" t="s">
        <v>71</v>
      </c>
      <c r="B5" s="17">
        <v>128662.22</v>
      </c>
      <c r="C5" s="17">
        <v>105935.84</v>
      </c>
      <c r="D5" s="17">
        <v>45521.48</v>
      </c>
      <c r="E5" s="17">
        <v>42403.199999999997</v>
      </c>
      <c r="F5" s="17">
        <v>1783033.66</v>
      </c>
      <c r="G5" s="17">
        <v>316361.77</v>
      </c>
    </row>
    <row r="6" spans="1:7" x14ac:dyDescent="0.35">
      <c r="A6" s="31" t="s">
        <v>56</v>
      </c>
      <c r="B6" s="32">
        <v>299559.51</v>
      </c>
      <c r="C6" s="32">
        <v>239912.41</v>
      </c>
      <c r="D6" s="32">
        <v>107407.42000000001</v>
      </c>
      <c r="E6" s="32">
        <v>98482.62</v>
      </c>
      <c r="F6" s="32">
        <v>4554123.47</v>
      </c>
      <c r="G6" s="32">
        <v>1113146.79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6C2E-66C5-4B93-9464-DDC65DD8C8D6}">
  <dimension ref="A1:E5"/>
  <sheetViews>
    <sheetView zoomScaleNormal="100" workbookViewId="0">
      <selection activeCell="F7" sqref="F7"/>
    </sheetView>
  </sheetViews>
  <sheetFormatPr defaultColWidth="17.90625" defaultRowHeight="30.5" customHeight="1" x14ac:dyDescent="0.35"/>
  <cols>
    <col min="2" max="2" width="17.90625" customWidth="1"/>
  </cols>
  <sheetData>
    <row r="1" spans="1:5" ht="30.5" customHeight="1" x14ac:dyDescent="0.35">
      <c r="A1" s="2" t="s">
        <v>66</v>
      </c>
      <c r="B1" s="3" t="s">
        <v>67</v>
      </c>
      <c r="C1" s="3" t="s">
        <v>72</v>
      </c>
      <c r="D1" s="4" t="s">
        <v>73</v>
      </c>
      <c r="E1" s="26" t="s">
        <v>76</v>
      </c>
    </row>
    <row r="2" spans="1:5" ht="30.5" customHeight="1" x14ac:dyDescent="0.35">
      <c r="A2" s="5">
        <v>2022</v>
      </c>
      <c r="B2" s="6">
        <v>6904</v>
      </c>
      <c r="C2" s="7">
        <v>1011355.52</v>
      </c>
      <c r="D2" s="8">
        <v>84279.626666666663</v>
      </c>
      <c r="E2" s="30">
        <v>0</v>
      </c>
    </row>
    <row r="3" spans="1:5" ht="30.5" customHeight="1" x14ac:dyDescent="0.35">
      <c r="A3" s="9">
        <v>2023</v>
      </c>
      <c r="B3" s="10">
        <v>10580</v>
      </c>
      <c r="C3" s="11">
        <v>1487890.72</v>
      </c>
      <c r="D3" s="12">
        <v>123990.8933333333</v>
      </c>
      <c r="E3" s="29">
        <f t="shared" ref="E3:E5" si="0">(C3-C2)/C2</f>
        <v>0.47118465324636777</v>
      </c>
    </row>
    <row r="4" spans="1:5" ht="30.5" customHeight="1" x14ac:dyDescent="0.35">
      <c r="A4" s="5">
        <v>2024</v>
      </c>
      <c r="B4" s="6">
        <v>10613</v>
      </c>
      <c r="C4" s="7">
        <v>1491467.81</v>
      </c>
      <c r="D4" s="8">
        <v>124288.98416666671</v>
      </c>
      <c r="E4" s="28">
        <f t="shared" si="0"/>
        <v>2.4041348950681564E-3</v>
      </c>
    </row>
    <row r="5" spans="1:5" ht="30.5" customHeight="1" x14ac:dyDescent="0.35">
      <c r="A5" s="13">
        <v>2025</v>
      </c>
      <c r="B5" s="14">
        <v>18401</v>
      </c>
      <c r="C5" s="15">
        <v>2421918.17</v>
      </c>
      <c r="D5" s="16">
        <v>201826.51416666669</v>
      </c>
      <c r="E5" s="27">
        <f t="shared" si="0"/>
        <v>0.62384877082932133</v>
      </c>
    </row>
  </sheetData>
  <pageMargins left="0.7" right="0.7" top="0.75" bottom="0.75" header="0.3" footer="0.3"/>
  <ignoredErrors>
    <ignoredError sqref="E2" calculatedColum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8EC5-CA03-4D36-A085-8D2902537941}">
  <dimension ref="A1:I923"/>
  <sheetViews>
    <sheetView workbookViewId="0">
      <selection activeCell="H12" sqref="H12"/>
    </sheetView>
  </sheetViews>
  <sheetFormatPr defaultColWidth="9.6328125" defaultRowHeight="14.5" x14ac:dyDescent="0.35"/>
  <cols>
    <col min="1" max="1" width="14.08984375" customWidth="1"/>
    <col min="2" max="2" width="13.36328125" customWidth="1"/>
    <col min="3" max="3" width="15.81640625" customWidth="1"/>
    <col min="4" max="4" width="17.08984375" customWidth="1"/>
    <col min="6" max="6" width="16.36328125" customWidth="1"/>
    <col min="7" max="7" width="16.6328125" customWidth="1"/>
    <col min="8" max="8" width="18.08984375" customWidth="1"/>
  </cols>
  <sheetData>
    <row r="1" spans="1:9" ht="27.5" customHeight="1" x14ac:dyDescent="0.35">
      <c r="A1" s="39" t="s">
        <v>111</v>
      </c>
      <c r="B1" s="40"/>
      <c r="C1" s="41"/>
      <c r="D1" s="42"/>
      <c r="E1" s="43"/>
      <c r="F1" s="44" t="s">
        <v>110</v>
      </c>
      <c r="G1" s="46"/>
      <c r="H1" s="43"/>
      <c r="I1" s="43"/>
    </row>
    <row r="2" spans="1:9" x14ac:dyDescent="0.35">
      <c r="A2" s="55" t="s">
        <v>77</v>
      </c>
      <c r="B2" s="56" t="s">
        <v>78</v>
      </c>
      <c r="C2" s="55" t="s">
        <v>59</v>
      </c>
      <c r="D2" s="56" t="s">
        <v>79</v>
      </c>
      <c r="F2" s="56" t="s">
        <v>78</v>
      </c>
      <c r="G2" s="55" t="s">
        <v>59</v>
      </c>
    </row>
    <row r="3" spans="1:9" ht="25" x14ac:dyDescent="0.35">
      <c r="A3" s="51" t="s">
        <v>80</v>
      </c>
      <c r="B3" s="47" t="s">
        <v>81</v>
      </c>
      <c r="C3" s="52" t="s">
        <v>82</v>
      </c>
      <c r="D3" s="47" t="s">
        <v>83</v>
      </c>
      <c r="F3" s="47" t="s">
        <v>100</v>
      </c>
      <c r="G3" s="48" t="s">
        <v>101</v>
      </c>
    </row>
    <row r="4" spans="1:9" ht="25" x14ac:dyDescent="0.35">
      <c r="A4" s="53" t="s">
        <v>84</v>
      </c>
      <c r="B4" s="49" t="s">
        <v>85</v>
      </c>
      <c r="C4" s="54" t="s">
        <v>86</v>
      </c>
      <c r="D4" s="49" t="s">
        <v>87</v>
      </c>
      <c r="F4" s="49" t="s">
        <v>102</v>
      </c>
      <c r="G4" s="50" t="s">
        <v>103</v>
      </c>
    </row>
    <row r="5" spans="1:9" ht="25" x14ac:dyDescent="0.35">
      <c r="A5" s="53" t="s">
        <v>88</v>
      </c>
      <c r="B5" s="49" t="s">
        <v>89</v>
      </c>
      <c r="C5" s="54" t="s">
        <v>90</v>
      </c>
      <c r="D5" s="49" t="s">
        <v>91</v>
      </c>
      <c r="F5" s="49" t="s">
        <v>104</v>
      </c>
      <c r="G5" s="50" t="s">
        <v>105</v>
      </c>
    </row>
    <row r="6" spans="1:9" ht="25" x14ac:dyDescent="0.35">
      <c r="A6" s="53" t="s">
        <v>92</v>
      </c>
      <c r="B6" s="49" t="s">
        <v>93</v>
      </c>
      <c r="C6" s="54" t="s">
        <v>94</v>
      </c>
      <c r="D6" s="49" t="s">
        <v>95</v>
      </c>
      <c r="F6" s="49" t="s">
        <v>106</v>
      </c>
      <c r="G6" s="50" t="s">
        <v>107</v>
      </c>
    </row>
    <row r="7" spans="1:9" ht="40.5" customHeight="1" x14ac:dyDescent="0.35">
      <c r="A7" s="51" t="s">
        <v>96</v>
      </c>
      <c r="B7" s="47" t="s">
        <v>97</v>
      </c>
      <c r="C7" s="52" t="s">
        <v>98</v>
      </c>
      <c r="D7" s="47" t="s">
        <v>99</v>
      </c>
      <c r="F7" s="47" t="s">
        <v>108</v>
      </c>
      <c r="G7" s="48" t="s">
        <v>109</v>
      </c>
    </row>
    <row r="10" spans="1:9" x14ac:dyDescent="0.35">
      <c r="A10" s="33" t="s">
        <v>120</v>
      </c>
      <c r="B10" s="33" t="s">
        <v>59</v>
      </c>
      <c r="C10" s="33" t="s">
        <v>121</v>
      </c>
      <c r="D10" s="33" t="s">
        <v>58</v>
      </c>
    </row>
    <row r="11" spans="1:9" x14ac:dyDescent="0.35">
      <c r="A11" s="1" t="s">
        <v>8</v>
      </c>
      <c r="B11">
        <v>77950.98000000001</v>
      </c>
      <c r="C11">
        <v>2398.8903</v>
      </c>
      <c r="D11">
        <v>578</v>
      </c>
    </row>
    <row r="12" spans="1:9" x14ac:dyDescent="0.35">
      <c r="A12" s="45" t="s">
        <v>89</v>
      </c>
      <c r="B12">
        <v>4011.09</v>
      </c>
      <c r="C12">
        <v>114.6026</v>
      </c>
      <c r="D12">
        <v>35</v>
      </c>
    </row>
    <row r="13" spans="1:9" x14ac:dyDescent="0.35">
      <c r="A13" s="45" t="s">
        <v>106</v>
      </c>
      <c r="B13">
        <v>4272.12</v>
      </c>
      <c r="C13">
        <v>170.88480000000001</v>
      </c>
      <c r="D13">
        <v>25</v>
      </c>
    </row>
    <row r="14" spans="1:9" x14ac:dyDescent="0.35">
      <c r="A14" s="45" t="s">
        <v>97</v>
      </c>
      <c r="B14">
        <v>4015.72</v>
      </c>
      <c r="C14">
        <v>114.7349</v>
      </c>
      <c r="D14">
        <v>35</v>
      </c>
    </row>
    <row r="15" spans="1:9" x14ac:dyDescent="0.35">
      <c r="A15" s="45" t="s">
        <v>112</v>
      </c>
      <c r="B15">
        <v>2770.37</v>
      </c>
      <c r="C15">
        <v>125.9259</v>
      </c>
      <c r="D15">
        <v>22</v>
      </c>
    </row>
    <row r="16" spans="1:9" x14ac:dyDescent="0.35">
      <c r="A16" s="45" t="s">
        <v>81</v>
      </c>
      <c r="B16">
        <v>10467.31</v>
      </c>
      <c r="C16">
        <v>141.45009999999999</v>
      </c>
      <c r="D16">
        <v>74</v>
      </c>
    </row>
    <row r="17" spans="1:4" x14ac:dyDescent="0.35">
      <c r="A17" s="45" t="s">
        <v>113</v>
      </c>
      <c r="B17">
        <v>6069.84</v>
      </c>
      <c r="C17">
        <v>195.8013</v>
      </c>
      <c r="D17">
        <v>31</v>
      </c>
    </row>
    <row r="18" spans="1:4" x14ac:dyDescent="0.35">
      <c r="A18" s="45" t="s">
        <v>93</v>
      </c>
      <c r="B18">
        <v>3416.09</v>
      </c>
      <c r="C18">
        <v>117.7962</v>
      </c>
      <c r="D18">
        <v>29</v>
      </c>
    </row>
    <row r="19" spans="1:4" x14ac:dyDescent="0.35">
      <c r="A19" s="45" t="s">
        <v>114</v>
      </c>
      <c r="B19">
        <v>2169.3000000000002</v>
      </c>
      <c r="C19">
        <v>83.434600000000003</v>
      </c>
      <c r="D19">
        <v>26</v>
      </c>
    </row>
    <row r="20" spans="1:4" x14ac:dyDescent="0.35">
      <c r="A20" s="45" t="s">
        <v>85</v>
      </c>
      <c r="B20">
        <v>9680.14</v>
      </c>
      <c r="C20">
        <v>158.6908</v>
      </c>
      <c r="D20">
        <v>61</v>
      </c>
    </row>
    <row r="21" spans="1:4" x14ac:dyDescent="0.35">
      <c r="A21" s="45" t="s">
        <v>115</v>
      </c>
      <c r="B21">
        <v>3464.39</v>
      </c>
      <c r="C21">
        <v>138.57560000000001</v>
      </c>
      <c r="D21">
        <v>25</v>
      </c>
    </row>
    <row r="22" spans="1:4" x14ac:dyDescent="0.35">
      <c r="A22" s="45" t="s">
        <v>116</v>
      </c>
      <c r="B22">
        <v>3684.55</v>
      </c>
      <c r="C22">
        <v>141.71350000000001</v>
      </c>
      <c r="D22">
        <v>26</v>
      </c>
    </row>
    <row r="23" spans="1:4" x14ac:dyDescent="0.35">
      <c r="A23" s="45" t="s">
        <v>117</v>
      </c>
      <c r="B23">
        <v>5413.95</v>
      </c>
      <c r="C23">
        <v>216.55799999999999</v>
      </c>
      <c r="D23">
        <v>25</v>
      </c>
    </row>
    <row r="24" spans="1:4" x14ac:dyDescent="0.35">
      <c r="A24" s="45" t="s">
        <v>104</v>
      </c>
      <c r="B24">
        <v>1883.86</v>
      </c>
      <c r="C24">
        <v>67.280699999999996</v>
      </c>
      <c r="D24">
        <v>28</v>
      </c>
    </row>
    <row r="25" spans="1:4" x14ac:dyDescent="0.35">
      <c r="A25" s="45" t="s">
        <v>102</v>
      </c>
      <c r="B25">
        <v>3156.59</v>
      </c>
      <c r="C25">
        <v>112.7354</v>
      </c>
      <c r="D25">
        <v>28</v>
      </c>
    </row>
    <row r="26" spans="1:4" x14ac:dyDescent="0.35">
      <c r="A26" s="45" t="s">
        <v>118</v>
      </c>
      <c r="B26">
        <v>3255.67</v>
      </c>
      <c r="C26">
        <v>141.55090000000001</v>
      </c>
      <c r="D26">
        <v>23</v>
      </c>
    </row>
    <row r="27" spans="1:4" x14ac:dyDescent="0.35">
      <c r="A27" s="45" t="s">
        <v>100</v>
      </c>
      <c r="B27">
        <v>2304.2199999999998</v>
      </c>
      <c r="C27">
        <v>82.293599999999998</v>
      </c>
      <c r="D27">
        <v>28</v>
      </c>
    </row>
    <row r="28" spans="1:4" x14ac:dyDescent="0.35">
      <c r="A28" s="45" t="s">
        <v>119</v>
      </c>
      <c r="B28">
        <v>2970.66</v>
      </c>
      <c r="C28">
        <v>110.0244</v>
      </c>
      <c r="D28">
        <v>27</v>
      </c>
    </row>
    <row r="29" spans="1:4" x14ac:dyDescent="0.35">
      <c r="A29" s="45" t="s">
        <v>108</v>
      </c>
      <c r="B29">
        <v>4945.1099999999997</v>
      </c>
      <c r="C29">
        <v>164.83699999999999</v>
      </c>
      <c r="D29">
        <v>30</v>
      </c>
    </row>
    <row r="30" spans="1:4" x14ac:dyDescent="0.35">
      <c r="A30" s="1" t="s">
        <v>9</v>
      </c>
      <c r="B30">
        <v>80315.690000000017</v>
      </c>
      <c r="C30">
        <v>2475.9594000000002</v>
      </c>
      <c r="D30">
        <v>570</v>
      </c>
    </row>
    <row r="31" spans="1:4" x14ac:dyDescent="0.35">
      <c r="A31" s="45" t="s">
        <v>89</v>
      </c>
      <c r="B31">
        <v>3483.86</v>
      </c>
      <c r="C31">
        <v>105.5715</v>
      </c>
      <c r="D31">
        <v>33</v>
      </c>
    </row>
    <row r="32" spans="1:4" x14ac:dyDescent="0.35">
      <c r="A32" s="45" t="s">
        <v>106</v>
      </c>
      <c r="B32">
        <v>4039.62</v>
      </c>
      <c r="C32">
        <v>134.654</v>
      </c>
      <c r="D32">
        <v>30</v>
      </c>
    </row>
    <row r="33" spans="1:4" x14ac:dyDescent="0.35">
      <c r="A33" s="45" t="s">
        <v>97</v>
      </c>
      <c r="B33">
        <v>2530.4499999999998</v>
      </c>
      <c r="C33">
        <v>90.373199999999997</v>
      </c>
      <c r="D33">
        <v>28</v>
      </c>
    </row>
    <row r="34" spans="1:4" x14ac:dyDescent="0.35">
      <c r="A34" s="45" t="s">
        <v>112</v>
      </c>
      <c r="B34">
        <v>1883.08</v>
      </c>
      <c r="C34">
        <v>75.3232</v>
      </c>
      <c r="D34">
        <v>25</v>
      </c>
    </row>
    <row r="35" spans="1:4" x14ac:dyDescent="0.35">
      <c r="A35" s="45" t="s">
        <v>81</v>
      </c>
      <c r="B35">
        <v>13781.66</v>
      </c>
      <c r="C35">
        <v>191.4119</v>
      </c>
      <c r="D35">
        <v>72</v>
      </c>
    </row>
    <row r="36" spans="1:4" x14ac:dyDescent="0.35">
      <c r="A36" s="45" t="s">
        <v>113</v>
      </c>
      <c r="B36">
        <v>6946.48</v>
      </c>
      <c r="C36">
        <v>182.8021</v>
      </c>
      <c r="D36">
        <v>38</v>
      </c>
    </row>
    <row r="37" spans="1:4" x14ac:dyDescent="0.35">
      <c r="A37" s="45" t="s">
        <v>93</v>
      </c>
      <c r="B37">
        <v>4656.78</v>
      </c>
      <c r="C37">
        <v>202.46870000000001</v>
      </c>
      <c r="D37">
        <v>23</v>
      </c>
    </row>
    <row r="38" spans="1:4" x14ac:dyDescent="0.35">
      <c r="A38" s="45" t="s">
        <v>114</v>
      </c>
      <c r="B38">
        <v>3119.67</v>
      </c>
      <c r="C38">
        <v>164.19319999999999</v>
      </c>
      <c r="D38">
        <v>19</v>
      </c>
    </row>
    <row r="39" spans="1:4" x14ac:dyDescent="0.35">
      <c r="A39" s="45" t="s">
        <v>85</v>
      </c>
      <c r="B39">
        <v>6435.94</v>
      </c>
      <c r="C39">
        <v>121.4328</v>
      </c>
      <c r="D39">
        <v>53</v>
      </c>
    </row>
    <row r="40" spans="1:4" x14ac:dyDescent="0.35">
      <c r="A40" s="45" t="s">
        <v>115</v>
      </c>
      <c r="B40">
        <v>5760.99</v>
      </c>
      <c r="C40">
        <v>230.43960000000001</v>
      </c>
      <c r="D40">
        <v>25</v>
      </c>
    </row>
    <row r="41" spans="1:4" x14ac:dyDescent="0.35">
      <c r="A41" s="45" t="s">
        <v>116</v>
      </c>
      <c r="B41">
        <v>4168.41</v>
      </c>
      <c r="C41">
        <v>148.87180000000001</v>
      </c>
      <c r="D41">
        <v>28</v>
      </c>
    </row>
    <row r="42" spans="1:4" x14ac:dyDescent="0.35">
      <c r="A42" s="45" t="s">
        <v>117</v>
      </c>
      <c r="B42">
        <v>2787.91</v>
      </c>
      <c r="C42">
        <v>92.930300000000003</v>
      </c>
      <c r="D42">
        <v>30</v>
      </c>
    </row>
    <row r="43" spans="1:4" x14ac:dyDescent="0.35">
      <c r="A43" s="45" t="s">
        <v>104</v>
      </c>
      <c r="B43">
        <v>1222.07</v>
      </c>
      <c r="C43">
        <v>61.103499999999997</v>
      </c>
      <c r="D43">
        <v>20</v>
      </c>
    </row>
    <row r="44" spans="1:4" x14ac:dyDescent="0.35">
      <c r="A44" s="45" t="s">
        <v>102</v>
      </c>
      <c r="B44">
        <v>5187.3100000000004</v>
      </c>
      <c r="C44">
        <v>144.09190000000001</v>
      </c>
      <c r="D44">
        <v>36</v>
      </c>
    </row>
    <row r="45" spans="1:4" x14ac:dyDescent="0.35">
      <c r="A45" s="45" t="s">
        <v>118</v>
      </c>
      <c r="B45">
        <v>5258.15</v>
      </c>
      <c r="C45">
        <v>202.23650000000001</v>
      </c>
      <c r="D45">
        <v>26</v>
      </c>
    </row>
    <row r="46" spans="1:4" x14ac:dyDescent="0.35">
      <c r="A46" s="45" t="s">
        <v>100</v>
      </c>
      <c r="B46">
        <v>3602.39</v>
      </c>
      <c r="C46">
        <v>128.6568</v>
      </c>
      <c r="D46">
        <v>28</v>
      </c>
    </row>
    <row r="47" spans="1:4" x14ac:dyDescent="0.35">
      <c r="A47" s="45" t="s">
        <v>119</v>
      </c>
      <c r="B47">
        <v>2407.46</v>
      </c>
      <c r="C47">
        <v>77.66</v>
      </c>
      <c r="D47">
        <v>31</v>
      </c>
    </row>
    <row r="48" spans="1:4" x14ac:dyDescent="0.35">
      <c r="A48" s="45" t="s">
        <v>108</v>
      </c>
      <c r="B48">
        <v>3043.46</v>
      </c>
      <c r="C48">
        <v>121.7384</v>
      </c>
      <c r="D48">
        <v>25</v>
      </c>
    </row>
    <row r="49" spans="1:4" x14ac:dyDescent="0.35">
      <c r="A49" s="1" t="s">
        <v>10</v>
      </c>
      <c r="B49">
        <v>82516.36</v>
      </c>
      <c r="C49">
        <v>2646.2358999999992</v>
      </c>
      <c r="D49">
        <v>553</v>
      </c>
    </row>
    <row r="50" spans="1:4" x14ac:dyDescent="0.35">
      <c r="A50" s="45" t="s">
        <v>89</v>
      </c>
      <c r="B50">
        <v>7089.67</v>
      </c>
      <c r="C50">
        <v>244.47139999999999</v>
      </c>
      <c r="D50">
        <v>29</v>
      </c>
    </row>
    <row r="51" spans="1:4" x14ac:dyDescent="0.35">
      <c r="A51" s="45" t="s">
        <v>106</v>
      </c>
      <c r="B51">
        <v>3622.94</v>
      </c>
      <c r="C51">
        <v>134.18299999999999</v>
      </c>
      <c r="D51">
        <v>27</v>
      </c>
    </row>
    <row r="52" spans="1:4" x14ac:dyDescent="0.35">
      <c r="A52" s="45" t="s">
        <v>97</v>
      </c>
      <c r="B52">
        <v>6513.6</v>
      </c>
      <c r="C52">
        <v>210.11609999999999</v>
      </c>
      <c r="D52">
        <v>31</v>
      </c>
    </row>
    <row r="53" spans="1:4" x14ac:dyDescent="0.35">
      <c r="A53" s="45" t="s">
        <v>112</v>
      </c>
      <c r="B53">
        <v>2482.86</v>
      </c>
      <c r="C53">
        <v>103.4525</v>
      </c>
      <c r="D53">
        <v>24</v>
      </c>
    </row>
    <row r="54" spans="1:4" x14ac:dyDescent="0.35">
      <c r="A54" s="45" t="s">
        <v>81</v>
      </c>
      <c r="B54">
        <v>11652.69</v>
      </c>
      <c r="C54">
        <v>200.9084</v>
      </c>
      <c r="D54">
        <v>58</v>
      </c>
    </row>
    <row r="55" spans="1:4" x14ac:dyDescent="0.35">
      <c r="A55" s="45" t="s">
        <v>113</v>
      </c>
      <c r="B55">
        <v>5050.4399999999996</v>
      </c>
      <c r="C55">
        <v>157.8263</v>
      </c>
      <c r="D55">
        <v>32</v>
      </c>
    </row>
    <row r="56" spans="1:4" x14ac:dyDescent="0.35">
      <c r="A56" s="45" t="s">
        <v>93</v>
      </c>
      <c r="B56">
        <v>2679.21</v>
      </c>
      <c r="C56">
        <v>95.686099999999996</v>
      </c>
      <c r="D56">
        <v>28</v>
      </c>
    </row>
    <row r="57" spans="1:4" x14ac:dyDescent="0.35">
      <c r="A57" s="45" t="s">
        <v>114</v>
      </c>
      <c r="B57">
        <v>2183.37</v>
      </c>
      <c r="C57">
        <v>77.977500000000006</v>
      </c>
      <c r="D57">
        <v>28</v>
      </c>
    </row>
    <row r="58" spans="1:4" x14ac:dyDescent="0.35">
      <c r="A58" s="45" t="s">
        <v>85</v>
      </c>
      <c r="B58">
        <v>7922.74</v>
      </c>
      <c r="C58">
        <v>136.59899999999999</v>
      </c>
      <c r="D58">
        <v>58</v>
      </c>
    </row>
    <row r="59" spans="1:4" x14ac:dyDescent="0.35">
      <c r="A59" s="45" t="s">
        <v>115</v>
      </c>
      <c r="B59">
        <v>2220.23</v>
      </c>
      <c r="C59">
        <v>100.9195</v>
      </c>
      <c r="D59">
        <v>22</v>
      </c>
    </row>
    <row r="60" spans="1:4" x14ac:dyDescent="0.35">
      <c r="A60" s="45" t="s">
        <v>116</v>
      </c>
      <c r="B60">
        <v>4059.65</v>
      </c>
      <c r="C60">
        <v>130.95650000000001</v>
      </c>
      <c r="D60">
        <v>31</v>
      </c>
    </row>
    <row r="61" spans="1:4" x14ac:dyDescent="0.35">
      <c r="A61" s="45" t="s">
        <v>117</v>
      </c>
      <c r="B61">
        <v>1592.4</v>
      </c>
      <c r="C61">
        <v>56.871400000000001</v>
      </c>
      <c r="D61">
        <v>28</v>
      </c>
    </row>
    <row r="62" spans="1:4" x14ac:dyDescent="0.35">
      <c r="A62" s="45" t="s">
        <v>104</v>
      </c>
      <c r="B62">
        <v>5055.66</v>
      </c>
      <c r="C62">
        <v>157.98939999999999</v>
      </c>
      <c r="D62">
        <v>32</v>
      </c>
    </row>
    <row r="63" spans="1:4" x14ac:dyDescent="0.35">
      <c r="A63" s="45" t="s">
        <v>102</v>
      </c>
      <c r="B63">
        <v>5812.41</v>
      </c>
      <c r="C63">
        <v>252.71350000000001</v>
      </c>
      <c r="D63">
        <v>23</v>
      </c>
    </row>
    <row r="64" spans="1:4" x14ac:dyDescent="0.35">
      <c r="A64" s="45" t="s">
        <v>118</v>
      </c>
      <c r="B64">
        <v>4577.34</v>
      </c>
      <c r="C64">
        <v>190.7225</v>
      </c>
      <c r="D64">
        <v>24</v>
      </c>
    </row>
    <row r="65" spans="1:4" x14ac:dyDescent="0.35">
      <c r="A65" s="45" t="s">
        <v>100</v>
      </c>
      <c r="B65">
        <v>4195.28</v>
      </c>
      <c r="C65">
        <v>161.3569</v>
      </c>
      <c r="D65">
        <v>26</v>
      </c>
    </row>
    <row r="66" spans="1:4" x14ac:dyDescent="0.35">
      <c r="A66" s="45" t="s">
        <v>119</v>
      </c>
      <c r="B66">
        <v>3296.44</v>
      </c>
      <c r="C66">
        <v>149.8382</v>
      </c>
      <c r="D66">
        <v>22</v>
      </c>
    </row>
    <row r="67" spans="1:4" x14ac:dyDescent="0.35">
      <c r="A67" s="45" t="s">
        <v>108</v>
      </c>
      <c r="B67">
        <v>2509.4299999999998</v>
      </c>
      <c r="C67">
        <v>83.6477</v>
      </c>
      <c r="D67">
        <v>30</v>
      </c>
    </row>
    <row r="68" spans="1:4" x14ac:dyDescent="0.35">
      <c r="A68" s="1" t="s">
        <v>11</v>
      </c>
      <c r="B68">
        <v>89350.31</v>
      </c>
      <c r="C68">
        <v>2853.5067000000008</v>
      </c>
      <c r="D68">
        <v>571</v>
      </c>
    </row>
    <row r="69" spans="1:4" x14ac:dyDescent="0.35">
      <c r="A69" s="45" t="s">
        <v>89</v>
      </c>
      <c r="B69">
        <v>3934.64</v>
      </c>
      <c r="C69">
        <v>151.3323</v>
      </c>
      <c r="D69">
        <v>26</v>
      </c>
    </row>
    <row r="70" spans="1:4" x14ac:dyDescent="0.35">
      <c r="A70" s="45" t="s">
        <v>106</v>
      </c>
      <c r="B70">
        <v>4928.1000000000004</v>
      </c>
      <c r="C70">
        <v>176.00360000000001</v>
      </c>
      <c r="D70">
        <v>28</v>
      </c>
    </row>
    <row r="71" spans="1:4" x14ac:dyDescent="0.35">
      <c r="A71" s="45" t="s">
        <v>97</v>
      </c>
      <c r="B71">
        <v>7625.27</v>
      </c>
      <c r="C71">
        <v>231.06880000000001</v>
      </c>
      <c r="D71">
        <v>33</v>
      </c>
    </row>
    <row r="72" spans="1:4" x14ac:dyDescent="0.35">
      <c r="A72" s="45" t="s">
        <v>112</v>
      </c>
      <c r="B72">
        <v>4797.55</v>
      </c>
      <c r="C72">
        <v>199.89789999999999</v>
      </c>
      <c r="D72">
        <v>24</v>
      </c>
    </row>
    <row r="73" spans="1:4" x14ac:dyDescent="0.35">
      <c r="A73" s="45" t="s">
        <v>81</v>
      </c>
      <c r="B73">
        <v>10664.72</v>
      </c>
      <c r="C73">
        <v>119.8283</v>
      </c>
      <c r="D73">
        <v>89</v>
      </c>
    </row>
    <row r="74" spans="1:4" x14ac:dyDescent="0.35">
      <c r="A74" s="45" t="s">
        <v>113</v>
      </c>
      <c r="B74">
        <v>6467.13</v>
      </c>
      <c r="C74">
        <v>202.09780000000001</v>
      </c>
      <c r="D74">
        <v>32</v>
      </c>
    </row>
    <row r="75" spans="1:4" x14ac:dyDescent="0.35">
      <c r="A75" s="45" t="s">
        <v>93</v>
      </c>
      <c r="B75">
        <v>5121.92</v>
      </c>
      <c r="C75">
        <v>170.73070000000001</v>
      </c>
      <c r="D75">
        <v>30</v>
      </c>
    </row>
    <row r="76" spans="1:4" x14ac:dyDescent="0.35">
      <c r="A76" s="45" t="s">
        <v>114</v>
      </c>
      <c r="B76">
        <v>6501.92</v>
      </c>
      <c r="C76">
        <v>232.2114</v>
      </c>
      <c r="D76">
        <v>28</v>
      </c>
    </row>
    <row r="77" spans="1:4" x14ac:dyDescent="0.35">
      <c r="A77" s="45" t="s">
        <v>85</v>
      </c>
      <c r="B77">
        <v>8544.25</v>
      </c>
      <c r="C77">
        <v>198.70349999999999</v>
      </c>
      <c r="D77">
        <v>43</v>
      </c>
    </row>
    <row r="78" spans="1:4" x14ac:dyDescent="0.35">
      <c r="A78" s="45" t="s">
        <v>115</v>
      </c>
      <c r="B78">
        <v>2960.1</v>
      </c>
      <c r="C78">
        <v>118.404</v>
      </c>
      <c r="D78">
        <v>25</v>
      </c>
    </row>
    <row r="79" spans="1:4" x14ac:dyDescent="0.35">
      <c r="A79" s="45" t="s">
        <v>116</v>
      </c>
      <c r="B79">
        <v>3160.01</v>
      </c>
      <c r="C79">
        <v>117.03740000000001</v>
      </c>
      <c r="D79">
        <v>27</v>
      </c>
    </row>
    <row r="80" spans="1:4" x14ac:dyDescent="0.35">
      <c r="A80" s="45" t="s">
        <v>117</v>
      </c>
      <c r="B80">
        <v>3823.71</v>
      </c>
      <c r="C80">
        <v>152.94839999999999</v>
      </c>
      <c r="D80">
        <v>25</v>
      </c>
    </row>
    <row r="81" spans="1:4" x14ac:dyDescent="0.35">
      <c r="A81" s="45" t="s">
        <v>104</v>
      </c>
      <c r="B81">
        <v>4465.93</v>
      </c>
      <c r="C81">
        <v>171.76650000000001</v>
      </c>
      <c r="D81">
        <v>26</v>
      </c>
    </row>
    <row r="82" spans="1:4" x14ac:dyDescent="0.35">
      <c r="A82" s="45" t="s">
        <v>102</v>
      </c>
      <c r="B82">
        <v>3389.6</v>
      </c>
      <c r="C82">
        <v>125.5407</v>
      </c>
      <c r="D82">
        <v>27</v>
      </c>
    </row>
    <row r="83" spans="1:4" x14ac:dyDescent="0.35">
      <c r="A83" s="45" t="s">
        <v>118</v>
      </c>
      <c r="B83">
        <v>2692.04</v>
      </c>
      <c r="C83">
        <v>81.576999999999998</v>
      </c>
      <c r="D83">
        <v>33</v>
      </c>
    </row>
    <row r="84" spans="1:4" x14ac:dyDescent="0.35">
      <c r="A84" s="45" t="s">
        <v>100</v>
      </c>
      <c r="B84">
        <v>1923.82</v>
      </c>
      <c r="C84">
        <v>83.644300000000001</v>
      </c>
      <c r="D84">
        <v>23</v>
      </c>
    </row>
    <row r="85" spans="1:4" x14ac:dyDescent="0.35">
      <c r="A85" s="45" t="s">
        <v>119</v>
      </c>
      <c r="B85">
        <v>3871.01</v>
      </c>
      <c r="C85">
        <v>154.84039999999999</v>
      </c>
      <c r="D85">
        <v>25</v>
      </c>
    </row>
    <row r="86" spans="1:4" x14ac:dyDescent="0.35">
      <c r="A86" s="45" t="s">
        <v>108</v>
      </c>
      <c r="B86">
        <v>4478.59</v>
      </c>
      <c r="C86">
        <v>165.87370000000001</v>
      </c>
      <c r="D86">
        <v>27</v>
      </c>
    </row>
    <row r="87" spans="1:4" x14ac:dyDescent="0.35">
      <c r="A87" s="1" t="s">
        <v>12</v>
      </c>
      <c r="B87">
        <v>94892.89</v>
      </c>
      <c r="C87">
        <v>2692.1541000000007</v>
      </c>
      <c r="D87">
        <v>610</v>
      </c>
    </row>
    <row r="88" spans="1:4" x14ac:dyDescent="0.35">
      <c r="A88" s="45" t="s">
        <v>89</v>
      </c>
      <c r="B88">
        <v>2308.23</v>
      </c>
      <c r="C88">
        <v>79.594099999999997</v>
      </c>
      <c r="D88">
        <v>29</v>
      </c>
    </row>
    <row r="89" spans="1:4" x14ac:dyDescent="0.35">
      <c r="A89" s="45" t="s">
        <v>106</v>
      </c>
      <c r="B89">
        <v>3740.88</v>
      </c>
      <c r="C89">
        <v>170.04</v>
      </c>
      <c r="D89">
        <v>22</v>
      </c>
    </row>
    <row r="90" spans="1:4" x14ac:dyDescent="0.35">
      <c r="A90" s="45" t="s">
        <v>97</v>
      </c>
      <c r="B90">
        <v>3509.06</v>
      </c>
      <c r="C90">
        <v>129.96520000000001</v>
      </c>
      <c r="D90">
        <v>27</v>
      </c>
    </row>
    <row r="91" spans="1:4" x14ac:dyDescent="0.35">
      <c r="A91" s="45" t="s">
        <v>112</v>
      </c>
      <c r="B91">
        <v>4549.9399999999996</v>
      </c>
      <c r="C91">
        <v>162.49789999999999</v>
      </c>
      <c r="D91">
        <v>28</v>
      </c>
    </row>
    <row r="92" spans="1:4" x14ac:dyDescent="0.35">
      <c r="A92" s="45" t="s">
        <v>81</v>
      </c>
      <c r="B92">
        <v>16862.27</v>
      </c>
      <c r="C92">
        <v>189.46369999999999</v>
      </c>
      <c r="D92">
        <v>89</v>
      </c>
    </row>
    <row r="93" spans="1:4" x14ac:dyDescent="0.35">
      <c r="A93" s="45" t="s">
        <v>113</v>
      </c>
      <c r="B93">
        <v>5270.39</v>
      </c>
      <c r="C93">
        <v>195.1996</v>
      </c>
      <c r="D93">
        <v>27</v>
      </c>
    </row>
    <row r="94" spans="1:4" x14ac:dyDescent="0.35">
      <c r="A94" s="45" t="s">
        <v>93</v>
      </c>
      <c r="B94">
        <v>6112.04</v>
      </c>
      <c r="C94">
        <v>191.00129999999999</v>
      </c>
      <c r="D94">
        <v>32</v>
      </c>
    </row>
    <row r="95" spans="1:4" x14ac:dyDescent="0.35">
      <c r="A95" s="45" t="s">
        <v>114</v>
      </c>
      <c r="B95">
        <v>4824.96</v>
      </c>
      <c r="C95">
        <v>141.91059999999999</v>
      </c>
      <c r="D95">
        <v>34</v>
      </c>
    </row>
    <row r="96" spans="1:4" x14ac:dyDescent="0.35">
      <c r="A96" s="45" t="s">
        <v>85</v>
      </c>
      <c r="B96">
        <v>11248.65</v>
      </c>
      <c r="C96">
        <v>178.55</v>
      </c>
      <c r="D96">
        <v>63</v>
      </c>
    </row>
    <row r="97" spans="1:4" x14ac:dyDescent="0.35">
      <c r="A97" s="45" t="s">
        <v>115</v>
      </c>
      <c r="B97">
        <v>7322.53</v>
      </c>
      <c r="C97">
        <v>197.90620000000001</v>
      </c>
      <c r="D97">
        <v>37</v>
      </c>
    </row>
    <row r="98" spans="1:4" x14ac:dyDescent="0.35">
      <c r="A98" s="45" t="s">
        <v>116</v>
      </c>
      <c r="B98">
        <v>3982.28</v>
      </c>
      <c r="C98">
        <v>159.2912</v>
      </c>
      <c r="D98">
        <v>25</v>
      </c>
    </row>
    <row r="99" spans="1:4" x14ac:dyDescent="0.35">
      <c r="A99" s="45" t="s">
        <v>117</v>
      </c>
      <c r="B99">
        <v>3538.4</v>
      </c>
      <c r="C99">
        <v>131.05189999999999</v>
      </c>
      <c r="D99">
        <v>27</v>
      </c>
    </row>
    <row r="100" spans="1:4" x14ac:dyDescent="0.35">
      <c r="A100" s="45" t="s">
        <v>104</v>
      </c>
      <c r="B100">
        <v>3029.61</v>
      </c>
      <c r="C100">
        <v>131.72219999999999</v>
      </c>
      <c r="D100">
        <v>23</v>
      </c>
    </row>
    <row r="101" spans="1:4" x14ac:dyDescent="0.35">
      <c r="A101" s="45" t="s">
        <v>102</v>
      </c>
      <c r="B101">
        <v>3705.45</v>
      </c>
      <c r="C101">
        <v>119.53060000000001</v>
      </c>
      <c r="D101">
        <v>31</v>
      </c>
    </row>
    <row r="102" spans="1:4" x14ac:dyDescent="0.35">
      <c r="A102" s="45" t="s">
        <v>118</v>
      </c>
      <c r="B102">
        <v>4610.18</v>
      </c>
      <c r="C102">
        <v>177.31460000000001</v>
      </c>
      <c r="D102">
        <v>26</v>
      </c>
    </row>
    <row r="103" spans="1:4" x14ac:dyDescent="0.35">
      <c r="A103" s="45" t="s">
        <v>100</v>
      </c>
      <c r="B103">
        <v>2170.4699999999998</v>
      </c>
      <c r="C103">
        <v>98.657700000000006</v>
      </c>
      <c r="D103">
        <v>22</v>
      </c>
    </row>
    <row r="104" spans="1:4" x14ac:dyDescent="0.35">
      <c r="A104" s="45" t="s">
        <v>119</v>
      </c>
      <c r="B104">
        <v>3167.21</v>
      </c>
      <c r="C104">
        <v>93.153199999999998</v>
      </c>
      <c r="D104">
        <v>34</v>
      </c>
    </row>
    <row r="105" spans="1:4" x14ac:dyDescent="0.35">
      <c r="A105" s="45" t="s">
        <v>108</v>
      </c>
      <c r="B105">
        <v>4940.34</v>
      </c>
      <c r="C105">
        <v>145.30410000000001</v>
      </c>
      <c r="D105">
        <v>34</v>
      </c>
    </row>
    <row r="106" spans="1:4" x14ac:dyDescent="0.35">
      <c r="A106" s="1" t="s">
        <v>13</v>
      </c>
      <c r="B106">
        <v>86847.700000000012</v>
      </c>
      <c r="C106">
        <v>2929.5267999999996</v>
      </c>
      <c r="D106">
        <v>543</v>
      </c>
    </row>
    <row r="107" spans="1:4" x14ac:dyDescent="0.35">
      <c r="A107" s="45" t="s">
        <v>89</v>
      </c>
      <c r="B107">
        <v>4984.51</v>
      </c>
      <c r="C107">
        <v>199.38040000000001</v>
      </c>
      <c r="D107">
        <v>25</v>
      </c>
    </row>
    <row r="108" spans="1:4" x14ac:dyDescent="0.35">
      <c r="A108" s="45" t="s">
        <v>106</v>
      </c>
      <c r="B108">
        <v>3248.38</v>
      </c>
      <c r="C108">
        <v>154.6848</v>
      </c>
      <c r="D108">
        <v>21</v>
      </c>
    </row>
    <row r="109" spans="1:4" x14ac:dyDescent="0.35">
      <c r="A109" s="45" t="s">
        <v>97</v>
      </c>
      <c r="B109">
        <v>1693.98</v>
      </c>
      <c r="C109">
        <v>65.153099999999995</v>
      </c>
      <c r="D109">
        <v>26</v>
      </c>
    </row>
    <row r="110" spans="1:4" x14ac:dyDescent="0.35">
      <c r="A110" s="45" t="s">
        <v>112</v>
      </c>
      <c r="B110">
        <v>6628.44</v>
      </c>
      <c r="C110">
        <v>220.94800000000001</v>
      </c>
      <c r="D110">
        <v>30</v>
      </c>
    </row>
    <row r="111" spans="1:4" x14ac:dyDescent="0.35">
      <c r="A111" s="45" t="s">
        <v>81</v>
      </c>
      <c r="B111">
        <v>12862.59</v>
      </c>
      <c r="C111">
        <v>160.7824</v>
      </c>
      <c r="D111">
        <v>80</v>
      </c>
    </row>
    <row r="112" spans="1:4" x14ac:dyDescent="0.35">
      <c r="A112" s="45" t="s">
        <v>113</v>
      </c>
      <c r="B112">
        <v>4888.08</v>
      </c>
      <c r="C112">
        <v>174.57429999999999</v>
      </c>
      <c r="D112">
        <v>28</v>
      </c>
    </row>
    <row r="113" spans="1:4" x14ac:dyDescent="0.35">
      <c r="A113" s="45" t="s">
        <v>93</v>
      </c>
      <c r="B113">
        <v>5976.87</v>
      </c>
      <c r="C113">
        <v>199.22900000000001</v>
      </c>
      <c r="D113">
        <v>30</v>
      </c>
    </row>
    <row r="114" spans="1:4" x14ac:dyDescent="0.35">
      <c r="A114" s="45" t="s">
        <v>114</v>
      </c>
      <c r="B114">
        <v>3659.87</v>
      </c>
      <c r="C114">
        <v>126.2024</v>
      </c>
      <c r="D114">
        <v>29</v>
      </c>
    </row>
    <row r="115" spans="1:4" x14ac:dyDescent="0.35">
      <c r="A115" s="45" t="s">
        <v>85</v>
      </c>
      <c r="B115">
        <v>4884.26</v>
      </c>
      <c r="C115">
        <v>116.2919</v>
      </c>
      <c r="D115">
        <v>42</v>
      </c>
    </row>
    <row r="116" spans="1:4" x14ac:dyDescent="0.35">
      <c r="A116" s="45" t="s">
        <v>115</v>
      </c>
      <c r="B116">
        <v>4925.2299999999996</v>
      </c>
      <c r="C116">
        <v>189.43190000000001</v>
      </c>
      <c r="D116">
        <v>26</v>
      </c>
    </row>
    <row r="117" spans="1:4" x14ac:dyDescent="0.35">
      <c r="A117" s="45" t="s">
        <v>116</v>
      </c>
      <c r="B117">
        <v>3288.36</v>
      </c>
      <c r="C117">
        <v>149.4709</v>
      </c>
      <c r="D117">
        <v>22</v>
      </c>
    </row>
    <row r="118" spans="1:4" x14ac:dyDescent="0.35">
      <c r="A118" s="45" t="s">
        <v>117</v>
      </c>
      <c r="B118">
        <v>4060.2</v>
      </c>
      <c r="C118">
        <v>150.37780000000001</v>
      </c>
      <c r="D118">
        <v>27</v>
      </c>
    </row>
    <row r="119" spans="1:4" x14ac:dyDescent="0.35">
      <c r="A119" s="45" t="s">
        <v>104</v>
      </c>
      <c r="B119">
        <v>3638.06</v>
      </c>
      <c r="C119">
        <v>165.3664</v>
      </c>
      <c r="D119">
        <v>22</v>
      </c>
    </row>
    <row r="120" spans="1:4" x14ac:dyDescent="0.35">
      <c r="A120" s="45" t="s">
        <v>102</v>
      </c>
      <c r="B120">
        <v>3262.46</v>
      </c>
      <c r="C120">
        <v>155.3552</v>
      </c>
      <c r="D120">
        <v>21</v>
      </c>
    </row>
    <row r="121" spans="1:4" x14ac:dyDescent="0.35">
      <c r="A121" s="45" t="s">
        <v>118</v>
      </c>
      <c r="B121">
        <v>6705.5</v>
      </c>
      <c r="C121">
        <v>304.7955</v>
      </c>
      <c r="D121">
        <v>22</v>
      </c>
    </row>
    <row r="122" spans="1:4" x14ac:dyDescent="0.35">
      <c r="A122" s="45" t="s">
        <v>100</v>
      </c>
      <c r="B122">
        <v>3487.32</v>
      </c>
      <c r="C122">
        <v>124.5471</v>
      </c>
      <c r="D122">
        <v>28</v>
      </c>
    </row>
    <row r="123" spans="1:4" x14ac:dyDescent="0.35">
      <c r="A123" s="45" t="s">
        <v>119</v>
      </c>
      <c r="B123">
        <v>3956.92</v>
      </c>
      <c r="C123">
        <v>116.38</v>
      </c>
      <c r="D123">
        <v>34</v>
      </c>
    </row>
    <row r="124" spans="1:4" x14ac:dyDescent="0.35">
      <c r="A124" s="45" t="s">
        <v>108</v>
      </c>
      <c r="B124">
        <v>4696.67</v>
      </c>
      <c r="C124">
        <v>156.5557</v>
      </c>
      <c r="D124">
        <v>30</v>
      </c>
    </row>
    <row r="125" spans="1:4" x14ac:dyDescent="0.35">
      <c r="A125" s="1" t="s">
        <v>14</v>
      </c>
      <c r="B125">
        <v>94048.489999999976</v>
      </c>
      <c r="C125">
        <v>2763.6731</v>
      </c>
      <c r="D125">
        <v>600</v>
      </c>
    </row>
    <row r="126" spans="1:4" x14ac:dyDescent="0.35">
      <c r="A126" s="45" t="s">
        <v>89</v>
      </c>
      <c r="B126">
        <v>1386.48</v>
      </c>
      <c r="C126">
        <v>69.323999999999998</v>
      </c>
      <c r="D126">
        <v>20</v>
      </c>
    </row>
    <row r="127" spans="1:4" x14ac:dyDescent="0.35">
      <c r="A127" s="45" t="s">
        <v>106</v>
      </c>
      <c r="B127">
        <v>2963.11</v>
      </c>
      <c r="C127">
        <v>134.68680000000001</v>
      </c>
      <c r="D127">
        <v>22</v>
      </c>
    </row>
    <row r="128" spans="1:4" x14ac:dyDescent="0.35">
      <c r="A128" s="45" t="s">
        <v>97</v>
      </c>
      <c r="B128">
        <v>3257.08</v>
      </c>
      <c r="C128">
        <v>108.5693</v>
      </c>
      <c r="D128">
        <v>30</v>
      </c>
    </row>
    <row r="129" spans="1:4" x14ac:dyDescent="0.35">
      <c r="A129" s="45" t="s">
        <v>112</v>
      </c>
      <c r="B129">
        <v>5704.87</v>
      </c>
      <c r="C129">
        <v>190.16229999999999</v>
      </c>
      <c r="D129">
        <v>30</v>
      </c>
    </row>
    <row r="130" spans="1:4" x14ac:dyDescent="0.35">
      <c r="A130" s="45" t="s">
        <v>81</v>
      </c>
      <c r="B130">
        <v>16689.52</v>
      </c>
      <c r="C130">
        <v>175.67920000000001</v>
      </c>
      <c r="D130">
        <v>95</v>
      </c>
    </row>
    <row r="131" spans="1:4" x14ac:dyDescent="0.35">
      <c r="A131" s="45" t="s">
        <v>113</v>
      </c>
      <c r="B131">
        <v>6003.15</v>
      </c>
      <c r="C131">
        <v>193.65</v>
      </c>
      <c r="D131">
        <v>31</v>
      </c>
    </row>
    <row r="132" spans="1:4" x14ac:dyDescent="0.35">
      <c r="A132" s="45" t="s">
        <v>93</v>
      </c>
      <c r="B132">
        <v>3054.7</v>
      </c>
      <c r="C132">
        <v>98.538700000000006</v>
      </c>
      <c r="D132">
        <v>31</v>
      </c>
    </row>
    <row r="133" spans="1:4" x14ac:dyDescent="0.35">
      <c r="A133" s="45" t="s">
        <v>114</v>
      </c>
      <c r="B133">
        <v>8318.25</v>
      </c>
      <c r="C133">
        <v>277.27499999999998</v>
      </c>
      <c r="D133">
        <v>30</v>
      </c>
    </row>
    <row r="134" spans="1:4" x14ac:dyDescent="0.35">
      <c r="A134" s="45" t="s">
        <v>85</v>
      </c>
      <c r="B134">
        <v>7175.4</v>
      </c>
      <c r="C134">
        <v>130.46180000000001</v>
      </c>
      <c r="D134">
        <v>55</v>
      </c>
    </row>
    <row r="135" spans="1:4" x14ac:dyDescent="0.35">
      <c r="A135" s="45" t="s">
        <v>115</v>
      </c>
      <c r="B135">
        <v>3667.75</v>
      </c>
      <c r="C135">
        <v>135.8426</v>
      </c>
      <c r="D135">
        <v>27</v>
      </c>
    </row>
    <row r="136" spans="1:4" x14ac:dyDescent="0.35">
      <c r="A136" s="45" t="s">
        <v>116</v>
      </c>
      <c r="B136">
        <v>5371.53</v>
      </c>
      <c r="C136">
        <v>167.8603</v>
      </c>
      <c r="D136">
        <v>32</v>
      </c>
    </row>
    <row r="137" spans="1:4" x14ac:dyDescent="0.35">
      <c r="A137" s="45" t="s">
        <v>117</v>
      </c>
      <c r="B137">
        <v>4328.7</v>
      </c>
      <c r="C137">
        <v>120.24169999999999</v>
      </c>
      <c r="D137">
        <v>36</v>
      </c>
    </row>
    <row r="138" spans="1:4" x14ac:dyDescent="0.35">
      <c r="A138" s="45" t="s">
        <v>104</v>
      </c>
      <c r="B138">
        <v>4578.12</v>
      </c>
      <c r="C138">
        <v>169.56</v>
      </c>
      <c r="D138">
        <v>27</v>
      </c>
    </row>
    <row r="139" spans="1:4" x14ac:dyDescent="0.35">
      <c r="A139" s="45" t="s">
        <v>102</v>
      </c>
      <c r="B139">
        <v>1740.98</v>
      </c>
      <c r="C139">
        <v>75.694800000000001</v>
      </c>
      <c r="D139">
        <v>23</v>
      </c>
    </row>
    <row r="140" spans="1:4" x14ac:dyDescent="0.35">
      <c r="A140" s="45" t="s">
        <v>118</v>
      </c>
      <c r="B140">
        <v>6540.83</v>
      </c>
      <c r="C140">
        <v>233.6011</v>
      </c>
      <c r="D140">
        <v>28</v>
      </c>
    </row>
    <row r="141" spans="1:4" x14ac:dyDescent="0.35">
      <c r="A141" s="45" t="s">
        <v>100</v>
      </c>
      <c r="B141">
        <v>6552.82</v>
      </c>
      <c r="C141">
        <v>242.697</v>
      </c>
      <c r="D141">
        <v>27</v>
      </c>
    </row>
    <row r="142" spans="1:4" x14ac:dyDescent="0.35">
      <c r="A142" s="45" t="s">
        <v>119</v>
      </c>
      <c r="B142">
        <v>4497.91</v>
      </c>
      <c r="C142">
        <v>160.6396</v>
      </c>
      <c r="D142">
        <v>28</v>
      </c>
    </row>
    <row r="143" spans="1:4" x14ac:dyDescent="0.35">
      <c r="A143" s="45" t="s">
        <v>108</v>
      </c>
      <c r="B143">
        <v>2217.29</v>
      </c>
      <c r="C143">
        <v>79.188900000000004</v>
      </c>
      <c r="D143">
        <v>28</v>
      </c>
    </row>
    <row r="144" spans="1:4" x14ac:dyDescent="0.35">
      <c r="A144" s="1" t="s">
        <v>15</v>
      </c>
      <c r="B144">
        <v>87058.359999999986</v>
      </c>
      <c r="C144">
        <v>2609.0530999999996</v>
      </c>
      <c r="D144">
        <v>573</v>
      </c>
    </row>
    <row r="145" spans="1:4" x14ac:dyDescent="0.35">
      <c r="A145" s="45" t="s">
        <v>89</v>
      </c>
      <c r="B145">
        <v>3448.3</v>
      </c>
      <c r="C145">
        <v>111.2355</v>
      </c>
      <c r="D145">
        <v>31</v>
      </c>
    </row>
    <row r="146" spans="1:4" x14ac:dyDescent="0.35">
      <c r="A146" s="45" t="s">
        <v>106</v>
      </c>
      <c r="B146">
        <v>3600.27</v>
      </c>
      <c r="C146">
        <v>116.1377</v>
      </c>
      <c r="D146">
        <v>31</v>
      </c>
    </row>
    <row r="147" spans="1:4" x14ac:dyDescent="0.35">
      <c r="A147" s="45" t="s">
        <v>97</v>
      </c>
      <c r="B147">
        <v>1667.6</v>
      </c>
      <c r="C147">
        <v>53.793500000000002</v>
      </c>
      <c r="D147">
        <v>31</v>
      </c>
    </row>
    <row r="148" spans="1:4" x14ac:dyDescent="0.35">
      <c r="A148" s="45" t="s">
        <v>112</v>
      </c>
      <c r="B148">
        <v>5569.91</v>
      </c>
      <c r="C148">
        <v>206.29300000000001</v>
      </c>
      <c r="D148">
        <v>27</v>
      </c>
    </row>
    <row r="149" spans="1:4" x14ac:dyDescent="0.35">
      <c r="A149" s="45" t="s">
        <v>81</v>
      </c>
      <c r="B149">
        <v>20298.259999999998</v>
      </c>
      <c r="C149">
        <v>247.53980000000001</v>
      </c>
      <c r="D149">
        <v>82</v>
      </c>
    </row>
    <row r="150" spans="1:4" x14ac:dyDescent="0.35">
      <c r="A150" s="45" t="s">
        <v>113</v>
      </c>
      <c r="B150">
        <v>4998.6099999999997</v>
      </c>
      <c r="C150">
        <v>178.52180000000001</v>
      </c>
      <c r="D150">
        <v>28</v>
      </c>
    </row>
    <row r="151" spans="1:4" x14ac:dyDescent="0.35">
      <c r="A151" s="45" t="s">
        <v>93</v>
      </c>
      <c r="B151">
        <v>5173.2299999999996</v>
      </c>
      <c r="C151">
        <v>206.92920000000001</v>
      </c>
      <c r="D151">
        <v>25</v>
      </c>
    </row>
    <row r="152" spans="1:4" x14ac:dyDescent="0.35">
      <c r="A152" s="45" t="s">
        <v>114</v>
      </c>
      <c r="B152">
        <v>1493.62</v>
      </c>
      <c r="C152">
        <v>57.446899999999999</v>
      </c>
      <c r="D152">
        <v>26</v>
      </c>
    </row>
    <row r="153" spans="1:4" x14ac:dyDescent="0.35">
      <c r="A153" s="45" t="s">
        <v>85</v>
      </c>
      <c r="B153">
        <v>5982.16</v>
      </c>
      <c r="C153">
        <v>115.0415</v>
      </c>
      <c r="D153">
        <v>52</v>
      </c>
    </row>
    <row r="154" spans="1:4" x14ac:dyDescent="0.35">
      <c r="A154" s="45" t="s">
        <v>115</v>
      </c>
      <c r="B154">
        <v>5657.55</v>
      </c>
      <c r="C154">
        <v>195.08789999999999</v>
      </c>
      <c r="D154">
        <v>29</v>
      </c>
    </row>
    <row r="155" spans="1:4" x14ac:dyDescent="0.35">
      <c r="A155" s="45" t="s">
        <v>116</v>
      </c>
      <c r="B155">
        <v>4756.1000000000004</v>
      </c>
      <c r="C155">
        <v>216.18639999999999</v>
      </c>
      <c r="D155">
        <v>22</v>
      </c>
    </row>
    <row r="156" spans="1:4" x14ac:dyDescent="0.35">
      <c r="A156" s="45" t="s">
        <v>117</v>
      </c>
      <c r="B156">
        <v>3435.98</v>
      </c>
      <c r="C156">
        <v>127.2585</v>
      </c>
      <c r="D156">
        <v>27</v>
      </c>
    </row>
    <row r="157" spans="1:4" x14ac:dyDescent="0.35">
      <c r="A157" s="45" t="s">
        <v>104</v>
      </c>
      <c r="B157">
        <v>3361.73</v>
      </c>
      <c r="C157">
        <v>120.06180000000001</v>
      </c>
      <c r="D157">
        <v>28</v>
      </c>
    </row>
    <row r="158" spans="1:4" x14ac:dyDescent="0.35">
      <c r="A158" s="45" t="s">
        <v>102</v>
      </c>
      <c r="B158">
        <v>3974.31</v>
      </c>
      <c r="C158">
        <v>137.04519999999999</v>
      </c>
      <c r="D158">
        <v>29</v>
      </c>
    </row>
    <row r="159" spans="1:4" x14ac:dyDescent="0.35">
      <c r="A159" s="45" t="s">
        <v>118</v>
      </c>
      <c r="B159">
        <v>2619.25</v>
      </c>
      <c r="C159">
        <v>93.544600000000003</v>
      </c>
      <c r="D159">
        <v>28</v>
      </c>
    </row>
    <row r="160" spans="1:4" x14ac:dyDescent="0.35">
      <c r="A160" s="45" t="s">
        <v>100</v>
      </c>
      <c r="B160">
        <v>5442.03</v>
      </c>
      <c r="C160">
        <v>201.55670000000001</v>
      </c>
      <c r="D160">
        <v>27</v>
      </c>
    </row>
    <row r="161" spans="1:4" x14ac:dyDescent="0.35">
      <c r="A161" s="45" t="s">
        <v>119</v>
      </c>
      <c r="B161">
        <v>2672.12</v>
      </c>
      <c r="C161">
        <v>98.967399999999998</v>
      </c>
      <c r="D161">
        <v>27</v>
      </c>
    </row>
    <row r="162" spans="1:4" x14ac:dyDescent="0.35">
      <c r="A162" s="45" t="s">
        <v>108</v>
      </c>
      <c r="B162">
        <v>2907.33</v>
      </c>
      <c r="C162">
        <v>126.4057</v>
      </c>
      <c r="D162">
        <v>23</v>
      </c>
    </row>
    <row r="163" spans="1:4" x14ac:dyDescent="0.35">
      <c r="A163" s="1" t="s">
        <v>16</v>
      </c>
      <c r="B163">
        <v>84206.09</v>
      </c>
      <c r="C163">
        <v>2570.4580000000001</v>
      </c>
      <c r="D163">
        <v>586</v>
      </c>
    </row>
    <row r="164" spans="1:4" x14ac:dyDescent="0.35">
      <c r="A164" s="45" t="s">
        <v>89</v>
      </c>
      <c r="B164">
        <v>3102.97</v>
      </c>
      <c r="C164">
        <v>96.967799999999997</v>
      </c>
      <c r="D164">
        <v>32</v>
      </c>
    </row>
    <row r="165" spans="1:4" x14ac:dyDescent="0.35">
      <c r="A165" s="45" t="s">
        <v>106</v>
      </c>
      <c r="B165">
        <v>3592.14</v>
      </c>
      <c r="C165">
        <v>123.8669</v>
      </c>
      <c r="D165">
        <v>29</v>
      </c>
    </row>
    <row r="166" spans="1:4" x14ac:dyDescent="0.35">
      <c r="A166" s="45" t="s">
        <v>97</v>
      </c>
      <c r="B166">
        <v>3015.57</v>
      </c>
      <c r="C166">
        <v>97.276499999999999</v>
      </c>
      <c r="D166">
        <v>31</v>
      </c>
    </row>
    <row r="167" spans="1:4" x14ac:dyDescent="0.35">
      <c r="A167" s="45" t="s">
        <v>112</v>
      </c>
      <c r="B167">
        <v>2308.58</v>
      </c>
      <c r="C167">
        <v>96.190799999999996</v>
      </c>
      <c r="D167">
        <v>24</v>
      </c>
    </row>
    <row r="168" spans="1:4" x14ac:dyDescent="0.35">
      <c r="A168" s="45" t="s">
        <v>81</v>
      </c>
      <c r="B168">
        <v>10400.98</v>
      </c>
      <c r="C168">
        <v>123.8212</v>
      </c>
      <c r="D168">
        <v>84</v>
      </c>
    </row>
    <row r="169" spans="1:4" x14ac:dyDescent="0.35">
      <c r="A169" s="45" t="s">
        <v>113</v>
      </c>
      <c r="B169">
        <v>6478.18</v>
      </c>
      <c r="C169">
        <v>223.38550000000001</v>
      </c>
      <c r="D169">
        <v>29</v>
      </c>
    </row>
    <row r="170" spans="1:4" x14ac:dyDescent="0.35">
      <c r="A170" s="45" t="s">
        <v>93</v>
      </c>
      <c r="B170">
        <v>2319.4699999999998</v>
      </c>
      <c r="C170">
        <v>77.315700000000007</v>
      </c>
      <c r="D170">
        <v>30</v>
      </c>
    </row>
    <row r="171" spans="1:4" x14ac:dyDescent="0.35">
      <c r="A171" s="45" t="s">
        <v>114</v>
      </c>
      <c r="B171">
        <v>1555.64</v>
      </c>
      <c r="C171">
        <v>53.642800000000001</v>
      </c>
      <c r="D171">
        <v>29</v>
      </c>
    </row>
    <row r="172" spans="1:4" x14ac:dyDescent="0.35">
      <c r="A172" s="45" t="s">
        <v>85</v>
      </c>
      <c r="B172">
        <v>9203.65</v>
      </c>
      <c r="C172">
        <v>191.74270000000001</v>
      </c>
      <c r="D172">
        <v>48</v>
      </c>
    </row>
    <row r="173" spans="1:4" x14ac:dyDescent="0.35">
      <c r="A173" s="45" t="s">
        <v>115</v>
      </c>
      <c r="B173">
        <v>7233.9</v>
      </c>
      <c r="C173">
        <v>226.05940000000001</v>
      </c>
      <c r="D173">
        <v>32</v>
      </c>
    </row>
    <row r="174" spans="1:4" x14ac:dyDescent="0.35">
      <c r="A174" s="45" t="s">
        <v>116</v>
      </c>
      <c r="B174">
        <v>3839.29</v>
      </c>
      <c r="C174">
        <v>132.38929999999999</v>
      </c>
      <c r="D174">
        <v>29</v>
      </c>
    </row>
    <row r="175" spans="1:4" x14ac:dyDescent="0.35">
      <c r="A175" s="45" t="s">
        <v>117</v>
      </c>
      <c r="B175">
        <v>7549.83</v>
      </c>
      <c r="C175">
        <v>228.78270000000001</v>
      </c>
      <c r="D175">
        <v>33</v>
      </c>
    </row>
    <row r="176" spans="1:4" x14ac:dyDescent="0.35">
      <c r="A176" s="45" t="s">
        <v>104</v>
      </c>
      <c r="B176">
        <v>5985.02</v>
      </c>
      <c r="C176">
        <v>221.66739999999999</v>
      </c>
      <c r="D176">
        <v>27</v>
      </c>
    </row>
    <row r="177" spans="1:4" x14ac:dyDescent="0.35">
      <c r="A177" s="45" t="s">
        <v>102</v>
      </c>
      <c r="B177">
        <v>3299.69</v>
      </c>
      <c r="C177">
        <v>117.84610000000001</v>
      </c>
      <c r="D177">
        <v>28</v>
      </c>
    </row>
    <row r="178" spans="1:4" x14ac:dyDescent="0.35">
      <c r="A178" s="45" t="s">
        <v>118</v>
      </c>
      <c r="B178">
        <v>3989.42</v>
      </c>
      <c r="C178">
        <v>147.75630000000001</v>
      </c>
      <c r="D178">
        <v>27</v>
      </c>
    </row>
    <row r="179" spans="1:4" x14ac:dyDescent="0.35">
      <c r="A179" s="45" t="s">
        <v>100</v>
      </c>
      <c r="B179">
        <v>2861.29</v>
      </c>
      <c r="C179">
        <v>124.40389999999999</v>
      </c>
      <c r="D179">
        <v>23</v>
      </c>
    </row>
    <row r="180" spans="1:4" x14ac:dyDescent="0.35">
      <c r="A180" s="45" t="s">
        <v>119</v>
      </c>
      <c r="B180">
        <v>5168.1400000000003</v>
      </c>
      <c r="C180">
        <v>191.4126</v>
      </c>
      <c r="D180">
        <v>27</v>
      </c>
    </row>
    <row r="181" spans="1:4" x14ac:dyDescent="0.35">
      <c r="A181" s="45" t="s">
        <v>108</v>
      </c>
      <c r="B181">
        <v>2302.33</v>
      </c>
      <c r="C181">
        <v>95.930400000000006</v>
      </c>
      <c r="D181">
        <v>24</v>
      </c>
    </row>
    <row r="182" spans="1:4" x14ac:dyDescent="0.35">
      <c r="A182" s="1" t="s">
        <v>17</v>
      </c>
      <c r="B182">
        <v>78706.960000000006</v>
      </c>
      <c r="C182">
        <v>2401.1411000000003</v>
      </c>
      <c r="D182">
        <v>613</v>
      </c>
    </row>
    <row r="183" spans="1:4" x14ac:dyDescent="0.35">
      <c r="A183" s="45" t="s">
        <v>89</v>
      </c>
      <c r="B183">
        <v>6329.77</v>
      </c>
      <c r="C183">
        <v>218.2679</v>
      </c>
      <c r="D183">
        <v>29</v>
      </c>
    </row>
    <row r="184" spans="1:4" x14ac:dyDescent="0.35">
      <c r="A184" s="45" t="s">
        <v>106</v>
      </c>
      <c r="B184">
        <v>2775.06</v>
      </c>
      <c r="C184">
        <v>132.14570000000001</v>
      </c>
      <c r="D184">
        <v>21</v>
      </c>
    </row>
    <row r="185" spans="1:4" x14ac:dyDescent="0.35">
      <c r="A185" s="45" t="s">
        <v>97</v>
      </c>
      <c r="B185">
        <v>3197.3</v>
      </c>
      <c r="C185">
        <v>110.2517</v>
      </c>
      <c r="D185">
        <v>29</v>
      </c>
    </row>
    <row r="186" spans="1:4" x14ac:dyDescent="0.35">
      <c r="A186" s="45" t="s">
        <v>112</v>
      </c>
      <c r="B186">
        <v>3286.22</v>
      </c>
      <c r="C186">
        <v>136.92580000000001</v>
      </c>
      <c r="D186">
        <v>24</v>
      </c>
    </row>
    <row r="187" spans="1:4" x14ac:dyDescent="0.35">
      <c r="A187" s="45" t="s">
        <v>81</v>
      </c>
      <c r="B187">
        <v>7308.3</v>
      </c>
      <c r="C187">
        <v>77.747900000000001</v>
      </c>
      <c r="D187">
        <v>94</v>
      </c>
    </row>
    <row r="188" spans="1:4" x14ac:dyDescent="0.35">
      <c r="A188" s="45" t="s">
        <v>113</v>
      </c>
      <c r="B188">
        <v>5979.65</v>
      </c>
      <c r="C188">
        <v>213.55889999999999</v>
      </c>
      <c r="D188">
        <v>28</v>
      </c>
    </row>
    <row r="189" spans="1:4" x14ac:dyDescent="0.35">
      <c r="A189" s="45" t="s">
        <v>93</v>
      </c>
      <c r="B189">
        <v>3168.55</v>
      </c>
      <c r="C189">
        <v>121.8673</v>
      </c>
      <c r="D189">
        <v>26</v>
      </c>
    </row>
    <row r="190" spans="1:4" x14ac:dyDescent="0.35">
      <c r="A190" s="45" t="s">
        <v>114</v>
      </c>
      <c r="B190">
        <v>3882.52</v>
      </c>
      <c r="C190">
        <v>155.30080000000001</v>
      </c>
      <c r="D190">
        <v>25</v>
      </c>
    </row>
    <row r="191" spans="1:4" x14ac:dyDescent="0.35">
      <c r="A191" s="45" t="s">
        <v>85</v>
      </c>
      <c r="B191">
        <v>11779.21</v>
      </c>
      <c r="C191">
        <v>196.3202</v>
      </c>
      <c r="D191">
        <v>60</v>
      </c>
    </row>
    <row r="192" spans="1:4" x14ac:dyDescent="0.35">
      <c r="A192" s="45" t="s">
        <v>115</v>
      </c>
      <c r="B192">
        <v>2456.09</v>
      </c>
      <c r="C192">
        <v>64.633899999999997</v>
      </c>
      <c r="D192">
        <v>38</v>
      </c>
    </row>
    <row r="193" spans="1:4" x14ac:dyDescent="0.35">
      <c r="A193" s="45" t="s">
        <v>116</v>
      </c>
      <c r="B193">
        <v>2772.5</v>
      </c>
      <c r="C193">
        <v>106.63460000000001</v>
      </c>
      <c r="D193">
        <v>26</v>
      </c>
    </row>
    <row r="194" spans="1:4" x14ac:dyDescent="0.35">
      <c r="A194" s="45" t="s">
        <v>117</v>
      </c>
      <c r="B194">
        <v>1679.98</v>
      </c>
      <c r="C194">
        <v>59.999299999999998</v>
      </c>
      <c r="D194">
        <v>28</v>
      </c>
    </row>
    <row r="195" spans="1:4" x14ac:dyDescent="0.35">
      <c r="A195" s="45" t="s">
        <v>104</v>
      </c>
      <c r="B195">
        <v>4527.28</v>
      </c>
      <c r="C195">
        <v>133.15530000000001</v>
      </c>
      <c r="D195">
        <v>34</v>
      </c>
    </row>
    <row r="196" spans="1:4" x14ac:dyDescent="0.35">
      <c r="A196" s="45" t="s">
        <v>102</v>
      </c>
      <c r="B196">
        <v>5168</v>
      </c>
      <c r="C196">
        <v>156.6061</v>
      </c>
      <c r="D196">
        <v>33</v>
      </c>
    </row>
    <row r="197" spans="1:4" x14ac:dyDescent="0.35">
      <c r="A197" s="45" t="s">
        <v>118</v>
      </c>
      <c r="B197">
        <v>5886.82</v>
      </c>
      <c r="C197">
        <v>235.47280000000001</v>
      </c>
      <c r="D197">
        <v>25</v>
      </c>
    </row>
    <row r="198" spans="1:4" x14ac:dyDescent="0.35">
      <c r="A198" s="45" t="s">
        <v>100</v>
      </c>
      <c r="B198">
        <v>2133.83</v>
      </c>
      <c r="C198">
        <v>66.682199999999995</v>
      </c>
      <c r="D198">
        <v>32</v>
      </c>
    </row>
    <row r="199" spans="1:4" x14ac:dyDescent="0.35">
      <c r="A199" s="45" t="s">
        <v>119</v>
      </c>
      <c r="B199">
        <v>3377.39</v>
      </c>
      <c r="C199">
        <v>129.89959999999999</v>
      </c>
      <c r="D199">
        <v>26</v>
      </c>
    </row>
    <row r="200" spans="1:4" x14ac:dyDescent="0.35">
      <c r="A200" s="45" t="s">
        <v>108</v>
      </c>
      <c r="B200">
        <v>2998.49</v>
      </c>
      <c r="C200">
        <v>85.671099999999996</v>
      </c>
      <c r="D200">
        <v>35</v>
      </c>
    </row>
    <row r="201" spans="1:4" x14ac:dyDescent="0.35">
      <c r="A201" s="1" t="s">
        <v>18</v>
      </c>
      <c r="B201">
        <v>76920.060000000012</v>
      </c>
      <c r="C201">
        <v>2554.8386999999998</v>
      </c>
      <c r="D201">
        <v>523</v>
      </c>
    </row>
    <row r="202" spans="1:4" x14ac:dyDescent="0.35">
      <c r="A202" s="45" t="s">
        <v>89</v>
      </c>
      <c r="B202">
        <v>4956</v>
      </c>
      <c r="C202">
        <v>190.61539999999999</v>
      </c>
      <c r="D202">
        <v>26</v>
      </c>
    </row>
    <row r="203" spans="1:4" x14ac:dyDescent="0.35">
      <c r="A203" s="45" t="s">
        <v>106</v>
      </c>
      <c r="B203">
        <v>2576.12</v>
      </c>
      <c r="C203">
        <v>135.58529999999999</v>
      </c>
      <c r="D203">
        <v>19</v>
      </c>
    </row>
    <row r="204" spans="1:4" x14ac:dyDescent="0.35">
      <c r="A204" s="45" t="s">
        <v>97</v>
      </c>
      <c r="B204">
        <v>2119.1999999999998</v>
      </c>
      <c r="C204">
        <v>75.685699999999997</v>
      </c>
      <c r="D204">
        <v>28</v>
      </c>
    </row>
    <row r="205" spans="1:4" x14ac:dyDescent="0.35">
      <c r="A205" s="45" t="s">
        <v>112</v>
      </c>
      <c r="B205">
        <v>2224.64</v>
      </c>
      <c r="C205">
        <v>111.232</v>
      </c>
      <c r="D205">
        <v>20</v>
      </c>
    </row>
    <row r="206" spans="1:4" x14ac:dyDescent="0.35">
      <c r="A206" s="45" t="s">
        <v>81</v>
      </c>
      <c r="B206">
        <v>12432.97</v>
      </c>
      <c r="C206">
        <v>185.5667</v>
      </c>
      <c r="D206">
        <v>67</v>
      </c>
    </row>
    <row r="207" spans="1:4" x14ac:dyDescent="0.35">
      <c r="A207" s="45" t="s">
        <v>113</v>
      </c>
      <c r="B207">
        <v>1770.95</v>
      </c>
      <c r="C207">
        <v>70.837999999999994</v>
      </c>
      <c r="D207">
        <v>25</v>
      </c>
    </row>
    <row r="208" spans="1:4" x14ac:dyDescent="0.35">
      <c r="A208" s="45" t="s">
        <v>93</v>
      </c>
      <c r="B208">
        <v>2363.81</v>
      </c>
      <c r="C208">
        <v>84.421800000000005</v>
      </c>
      <c r="D208">
        <v>28</v>
      </c>
    </row>
    <row r="209" spans="1:4" x14ac:dyDescent="0.35">
      <c r="A209" s="45" t="s">
        <v>114</v>
      </c>
      <c r="B209">
        <v>3602.33</v>
      </c>
      <c r="C209">
        <v>120.07769999999999</v>
      </c>
      <c r="D209">
        <v>30</v>
      </c>
    </row>
    <row r="210" spans="1:4" x14ac:dyDescent="0.35">
      <c r="A210" s="45" t="s">
        <v>85</v>
      </c>
      <c r="B210">
        <v>12008.24</v>
      </c>
      <c r="C210">
        <v>222.37479999999999</v>
      </c>
      <c r="D210">
        <v>54</v>
      </c>
    </row>
    <row r="211" spans="1:4" x14ac:dyDescent="0.35">
      <c r="A211" s="45" t="s">
        <v>115</v>
      </c>
      <c r="B211">
        <v>3409.08</v>
      </c>
      <c r="C211">
        <v>126.26220000000001</v>
      </c>
      <c r="D211">
        <v>27</v>
      </c>
    </row>
    <row r="212" spans="1:4" x14ac:dyDescent="0.35">
      <c r="A212" s="45" t="s">
        <v>116</v>
      </c>
      <c r="B212">
        <v>3715.53</v>
      </c>
      <c r="C212">
        <v>112.59180000000001</v>
      </c>
      <c r="D212">
        <v>33</v>
      </c>
    </row>
    <row r="213" spans="1:4" x14ac:dyDescent="0.35">
      <c r="A213" s="45" t="s">
        <v>117</v>
      </c>
      <c r="B213">
        <v>2517.33</v>
      </c>
      <c r="C213">
        <v>89.904600000000002</v>
      </c>
      <c r="D213">
        <v>28</v>
      </c>
    </row>
    <row r="214" spans="1:4" x14ac:dyDescent="0.35">
      <c r="A214" s="45" t="s">
        <v>104</v>
      </c>
      <c r="B214">
        <v>4236.7700000000004</v>
      </c>
      <c r="C214">
        <v>146.09549999999999</v>
      </c>
      <c r="D214">
        <v>29</v>
      </c>
    </row>
    <row r="215" spans="1:4" x14ac:dyDescent="0.35">
      <c r="A215" s="45" t="s">
        <v>102</v>
      </c>
      <c r="B215">
        <v>5662.69</v>
      </c>
      <c r="C215">
        <v>226.5076</v>
      </c>
      <c r="D215">
        <v>25</v>
      </c>
    </row>
    <row r="216" spans="1:4" x14ac:dyDescent="0.35">
      <c r="A216" s="45" t="s">
        <v>118</v>
      </c>
      <c r="B216">
        <v>4554.97</v>
      </c>
      <c r="C216">
        <v>182.19880000000001</v>
      </c>
      <c r="D216">
        <v>25</v>
      </c>
    </row>
    <row r="217" spans="1:4" x14ac:dyDescent="0.35">
      <c r="A217" s="45" t="s">
        <v>100</v>
      </c>
      <c r="B217">
        <v>4291.24</v>
      </c>
      <c r="C217">
        <v>268.20249999999999</v>
      </c>
      <c r="D217">
        <v>16</v>
      </c>
    </row>
    <row r="218" spans="1:4" x14ac:dyDescent="0.35">
      <c r="A218" s="45" t="s">
        <v>119</v>
      </c>
      <c r="B218">
        <v>1831.94</v>
      </c>
      <c r="C218">
        <v>96.417900000000003</v>
      </c>
      <c r="D218">
        <v>19</v>
      </c>
    </row>
    <row r="219" spans="1:4" x14ac:dyDescent="0.35">
      <c r="A219" s="45" t="s">
        <v>108</v>
      </c>
      <c r="B219">
        <v>2646.25</v>
      </c>
      <c r="C219">
        <v>110.2604</v>
      </c>
      <c r="D219">
        <v>24</v>
      </c>
    </row>
    <row r="220" spans="1:4" x14ac:dyDescent="0.35">
      <c r="A220" s="1" t="s">
        <v>19</v>
      </c>
      <c r="B220">
        <v>78541.62999999999</v>
      </c>
      <c r="C220">
        <v>2342.9945000000002</v>
      </c>
      <c r="D220">
        <v>584</v>
      </c>
    </row>
    <row r="221" spans="1:4" x14ac:dyDescent="0.35">
      <c r="A221" s="45" t="s">
        <v>89</v>
      </c>
      <c r="B221">
        <v>3936.25</v>
      </c>
      <c r="C221">
        <v>135.7328</v>
      </c>
      <c r="D221">
        <v>29</v>
      </c>
    </row>
    <row r="222" spans="1:4" x14ac:dyDescent="0.35">
      <c r="A222" s="45" t="s">
        <v>106</v>
      </c>
      <c r="B222">
        <v>3663.74</v>
      </c>
      <c r="C222">
        <v>152.6558</v>
      </c>
      <c r="D222">
        <v>24</v>
      </c>
    </row>
    <row r="223" spans="1:4" x14ac:dyDescent="0.35">
      <c r="A223" s="45" t="s">
        <v>97</v>
      </c>
      <c r="B223">
        <v>2509.38</v>
      </c>
      <c r="C223">
        <v>109.1035</v>
      </c>
      <c r="D223">
        <v>23</v>
      </c>
    </row>
    <row r="224" spans="1:4" x14ac:dyDescent="0.35">
      <c r="A224" s="45" t="s">
        <v>112</v>
      </c>
      <c r="B224">
        <v>2872.95</v>
      </c>
      <c r="C224">
        <v>92.675799999999995</v>
      </c>
      <c r="D224">
        <v>31</v>
      </c>
    </row>
    <row r="225" spans="1:4" x14ac:dyDescent="0.35">
      <c r="A225" s="45" t="s">
        <v>81</v>
      </c>
      <c r="B225">
        <v>13542.5</v>
      </c>
      <c r="C225">
        <v>144.06909999999999</v>
      </c>
      <c r="D225">
        <v>94</v>
      </c>
    </row>
    <row r="226" spans="1:4" x14ac:dyDescent="0.35">
      <c r="A226" s="45" t="s">
        <v>113</v>
      </c>
      <c r="B226">
        <v>4573.9399999999996</v>
      </c>
      <c r="C226">
        <v>157.72210000000001</v>
      </c>
      <c r="D226">
        <v>29</v>
      </c>
    </row>
    <row r="227" spans="1:4" x14ac:dyDescent="0.35">
      <c r="A227" s="45" t="s">
        <v>93</v>
      </c>
      <c r="B227">
        <v>6134.07</v>
      </c>
      <c r="C227">
        <v>235.92580000000001</v>
      </c>
      <c r="D227">
        <v>26</v>
      </c>
    </row>
    <row r="228" spans="1:4" x14ac:dyDescent="0.35">
      <c r="A228" s="45" t="s">
        <v>114</v>
      </c>
      <c r="B228">
        <v>4096.18</v>
      </c>
      <c r="C228">
        <v>128.00559999999999</v>
      </c>
      <c r="D228">
        <v>32</v>
      </c>
    </row>
    <row r="229" spans="1:4" x14ac:dyDescent="0.35">
      <c r="A229" s="45" t="s">
        <v>85</v>
      </c>
      <c r="B229">
        <v>10011.02</v>
      </c>
      <c r="C229">
        <v>185.38929999999999</v>
      </c>
      <c r="D229">
        <v>54</v>
      </c>
    </row>
    <row r="230" spans="1:4" x14ac:dyDescent="0.35">
      <c r="A230" s="45" t="s">
        <v>115</v>
      </c>
      <c r="B230">
        <v>2589.42</v>
      </c>
      <c r="C230">
        <v>80.919399999999996</v>
      </c>
      <c r="D230">
        <v>32</v>
      </c>
    </row>
    <row r="231" spans="1:4" x14ac:dyDescent="0.35">
      <c r="A231" s="45" t="s">
        <v>116</v>
      </c>
      <c r="B231">
        <v>4312.62</v>
      </c>
      <c r="C231">
        <v>143.75399999999999</v>
      </c>
      <c r="D231">
        <v>30</v>
      </c>
    </row>
    <row r="232" spans="1:4" x14ac:dyDescent="0.35">
      <c r="A232" s="45" t="s">
        <v>117</v>
      </c>
      <c r="B232">
        <v>2012.61</v>
      </c>
      <c r="C232">
        <v>95.8386</v>
      </c>
      <c r="D232">
        <v>21</v>
      </c>
    </row>
    <row r="233" spans="1:4" x14ac:dyDescent="0.35">
      <c r="A233" s="45" t="s">
        <v>104</v>
      </c>
      <c r="B233">
        <v>2611.71</v>
      </c>
      <c r="C233">
        <v>108.82129999999999</v>
      </c>
      <c r="D233">
        <v>24</v>
      </c>
    </row>
    <row r="234" spans="1:4" x14ac:dyDescent="0.35">
      <c r="A234" s="45" t="s">
        <v>102</v>
      </c>
      <c r="B234">
        <v>1807.47</v>
      </c>
      <c r="C234">
        <v>75.311300000000003</v>
      </c>
      <c r="D234">
        <v>24</v>
      </c>
    </row>
    <row r="235" spans="1:4" x14ac:dyDescent="0.35">
      <c r="A235" s="45" t="s">
        <v>118</v>
      </c>
      <c r="B235">
        <v>2440.23</v>
      </c>
      <c r="C235">
        <v>101.6763</v>
      </c>
      <c r="D235">
        <v>24</v>
      </c>
    </row>
    <row r="236" spans="1:4" x14ac:dyDescent="0.35">
      <c r="A236" s="45" t="s">
        <v>100</v>
      </c>
      <c r="B236">
        <v>2355.62</v>
      </c>
      <c r="C236">
        <v>78.520700000000005</v>
      </c>
      <c r="D236">
        <v>30</v>
      </c>
    </row>
    <row r="237" spans="1:4" x14ac:dyDescent="0.35">
      <c r="A237" s="45" t="s">
        <v>119</v>
      </c>
      <c r="B237">
        <v>3287.2</v>
      </c>
      <c r="C237">
        <v>117.4</v>
      </c>
      <c r="D237">
        <v>28</v>
      </c>
    </row>
    <row r="238" spans="1:4" x14ac:dyDescent="0.35">
      <c r="A238" s="45" t="s">
        <v>108</v>
      </c>
      <c r="B238">
        <v>5784.72</v>
      </c>
      <c r="C238">
        <v>199.47309999999999</v>
      </c>
      <c r="D238">
        <v>29</v>
      </c>
    </row>
    <row r="239" spans="1:4" x14ac:dyDescent="0.35">
      <c r="A239" s="1" t="s">
        <v>20</v>
      </c>
      <c r="B239">
        <v>127097.69</v>
      </c>
      <c r="C239">
        <v>2719.2508999999995</v>
      </c>
      <c r="D239">
        <v>855</v>
      </c>
    </row>
    <row r="240" spans="1:4" x14ac:dyDescent="0.35">
      <c r="A240" s="45" t="s">
        <v>89</v>
      </c>
      <c r="B240">
        <v>6496.05</v>
      </c>
      <c r="C240">
        <v>144.35669999999999</v>
      </c>
      <c r="D240">
        <v>45</v>
      </c>
    </row>
    <row r="241" spans="1:4" x14ac:dyDescent="0.35">
      <c r="A241" s="45" t="s">
        <v>106</v>
      </c>
      <c r="B241">
        <v>6157.35</v>
      </c>
      <c r="C241">
        <v>153.93379999999999</v>
      </c>
      <c r="D241">
        <v>40</v>
      </c>
    </row>
    <row r="242" spans="1:4" x14ac:dyDescent="0.35">
      <c r="A242" s="45" t="s">
        <v>97</v>
      </c>
      <c r="B242">
        <v>7043.22</v>
      </c>
      <c r="C242">
        <v>143.73920000000001</v>
      </c>
      <c r="D242">
        <v>49</v>
      </c>
    </row>
    <row r="243" spans="1:4" x14ac:dyDescent="0.35">
      <c r="A243" s="45" t="s">
        <v>112</v>
      </c>
      <c r="B243">
        <v>6131.45</v>
      </c>
      <c r="C243">
        <v>227.0907</v>
      </c>
      <c r="D243">
        <v>27</v>
      </c>
    </row>
    <row r="244" spans="1:4" x14ac:dyDescent="0.35">
      <c r="A244" s="45" t="s">
        <v>81</v>
      </c>
      <c r="B244">
        <v>17440.72</v>
      </c>
      <c r="C244">
        <v>139.5258</v>
      </c>
      <c r="D244">
        <v>125</v>
      </c>
    </row>
    <row r="245" spans="1:4" x14ac:dyDescent="0.35">
      <c r="A245" s="45" t="s">
        <v>113</v>
      </c>
      <c r="B245">
        <v>10212.18</v>
      </c>
      <c r="C245">
        <v>255.30449999999999</v>
      </c>
      <c r="D245">
        <v>40</v>
      </c>
    </row>
    <row r="246" spans="1:4" x14ac:dyDescent="0.35">
      <c r="A246" s="45" t="s">
        <v>93</v>
      </c>
      <c r="B246">
        <v>4944.17</v>
      </c>
      <c r="C246">
        <v>126.7736</v>
      </c>
      <c r="D246">
        <v>39</v>
      </c>
    </row>
    <row r="247" spans="1:4" x14ac:dyDescent="0.35">
      <c r="A247" s="45" t="s">
        <v>114</v>
      </c>
      <c r="B247">
        <v>6451.46</v>
      </c>
      <c r="C247">
        <v>153.6062</v>
      </c>
      <c r="D247">
        <v>42</v>
      </c>
    </row>
    <row r="248" spans="1:4" x14ac:dyDescent="0.35">
      <c r="A248" s="45" t="s">
        <v>85</v>
      </c>
      <c r="B248">
        <v>13912.35</v>
      </c>
      <c r="C248">
        <v>149.59520000000001</v>
      </c>
      <c r="D248">
        <v>93</v>
      </c>
    </row>
    <row r="249" spans="1:4" x14ac:dyDescent="0.35">
      <c r="A249" s="45" t="s">
        <v>115</v>
      </c>
      <c r="B249">
        <v>5327.95</v>
      </c>
      <c r="C249">
        <v>140.20920000000001</v>
      </c>
      <c r="D249">
        <v>38</v>
      </c>
    </row>
    <row r="250" spans="1:4" x14ac:dyDescent="0.35">
      <c r="A250" s="45" t="s">
        <v>116</v>
      </c>
      <c r="B250">
        <v>6419.95</v>
      </c>
      <c r="C250">
        <v>178.33189999999999</v>
      </c>
      <c r="D250">
        <v>36</v>
      </c>
    </row>
    <row r="251" spans="1:4" x14ac:dyDescent="0.35">
      <c r="A251" s="45" t="s">
        <v>117</v>
      </c>
      <c r="B251">
        <v>3612.63</v>
      </c>
      <c r="C251">
        <v>112.8947</v>
      </c>
      <c r="D251">
        <v>32</v>
      </c>
    </row>
    <row r="252" spans="1:4" x14ac:dyDescent="0.35">
      <c r="A252" s="45" t="s">
        <v>104</v>
      </c>
      <c r="B252">
        <v>3013.31</v>
      </c>
      <c r="C252">
        <v>73.495400000000004</v>
      </c>
      <c r="D252">
        <v>41</v>
      </c>
    </row>
    <row r="253" spans="1:4" x14ac:dyDescent="0.35">
      <c r="A253" s="45" t="s">
        <v>102</v>
      </c>
      <c r="B253">
        <v>6264.7</v>
      </c>
      <c r="C253">
        <v>152.79759999999999</v>
      </c>
      <c r="D253">
        <v>41</v>
      </c>
    </row>
    <row r="254" spans="1:4" x14ac:dyDescent="0.35">
      <c r="A254" s="45" t="s">
        <v>118</v>
      </c>
      <c r="B254">
        <v>7217.72</v>
      </c>
      <c r="C254">
        <v>128.8879</v>
      </c>
      <c r="D254">
        <v>56</v>
      </c>
    </row>
    <row r="255" spans="1:4" x14ac:dyDescent="0.35">
      <c r="A255" s="45" t="s">
        <v>100</v>
      </c>
      <c r="B255">
        <v>4498.1400000000003</v>
      </c>
      <c r="C255">
        <v>136.3073</v>
      </c>
      <c r="D255">
        <v>33</v>
      </c>
    </row>
    <row r="256" spans="1:4" x14ac:dyDescent="0.35">
      <c r="A256" s="45" t="s">
        <v>119</v>
      </c>
      <c r="B256">
        <v>7475.28</v>
      </c>
      <c r="C256">
        <v>177.9829</v>
      </c>
      <c r="D256">
        <v>42</v>
      </c>
    </row>
    <row r="257" spans="1:4" x14ac:dyDescent="0.35">
      <c r="A257" s="45" t="s">
        <v>108</v>
      </c>
      <c r="B257">
        <v>4479.0600000000004</v>
      </c>
      <c r="C257">
        <v>124.4183</v>
      </c>
      <c r="D257">
        <v>36</v>
      </c>
    </row>
    <row r="258" spans="1:4" x14ac:dyDescent="0.35">
      <c r="A258" s="1" t="s">
        <v>21</v>
      </c>
      <c r="B258">
        <v>118165.45</v>
      </c>
      <c r="C258">
        <v>2489.3442000000005</v>
      </c>
      <c r="D258">
        <v>862</v>
      </c>
    </row>
    <row r="259" spans="1:4" x14ac:dyDescent="0.35">
      <c r="A259" s="45" t="s">
        <v>89</v>
      </c>
      <c r="B259">
        <v>5176.17</v>
      </c>
      <c r="C259">
        <v>112.5254</v>
      </c>
      <c r="D259">
        <v>46</v>
      </c>
    </row>
    <row r="260" spans="1:4" x14ac:dyDescent="0.35">
      <c r="A260" s="45" t="s">
        <v>106</v>
      </c>
      <c r="B260">
        <v>5656.86</v>
      </c>
      <c r="C260">
        <v>128.565</v>
      </c>
      <c r="D260">
        <v>44</v>
      </c>
    </row>
    <row r="261" spans="1:4" x14ac:dyDescent="0.35">
      <c r="A261" s="45" t="s">
        <v>97</v>
      </c>
      <c r="B261">
        <v>7757.84</v>
      </c>
      <c r="C261">
        <v>172.3964</v>
      </c>
      <c r="D261">
        <v>45</v>
      </c>
    </row>
    <row r="262" spans="1:4" x14ac:dyDescent="0.35">
      <c r="A262" s="45" t="s">
        <v>112</v>
      </c>
      <c r="B262">
        <v>2409.9499999999998</v>
      </c>
      <c r="C262">
        <v>89.257400000000004</v>
      </c>
      <c r="D262">
        <v>27</v>
      </c>
    </row>
    <row r="263" spans="1:4" x14ac:dyDescent="0.35">
      <c r="A263" s="45" t="s">
        <v>81</v>
      </c>
      <c r="B263">
        <v>15986.07</v>
      </c>
      <c r="C263">
        <v>132.1163</v>
      </c>
      <c r="D263">
        <v>121</v>
      </c>
    </row>
    <row r="264" spans="1:4" x14ac:dyDescent="0.35">
      <c r="A264" s="45" t="s">
        <v>113</v>
      </c>
      <c r="B264">
        <v>5759.44</v>
      </c>
      <c r="C264">
        <v>205.6943</v>
      </c>
      <c r="D264">
        <v>28</v>
      </c>
    </row>
    <row r="265" spans="1:4" x14ac:dyDescent="0.35">
      <c r="A265" s="45" t="s">
        <v>93</v>
      </c>
      <c r="B265">
        <v>3618.5</v>
      </c>
      <c r="C265">
        <v>76.989400000000003</v>
      </c>
      <c r="D265">
        <v>47</v>
      </c>
    </row>
    <row r="266" spans="1:4" x14ac:dyDescent="0.35">
      <c r="A266" s="45" t="s">
        <v>114</v>
      </c>
      <c r="B266">
        <v>4268.82</v>
      </c>
      <c r="C266">
        <v>137.7039</v>
      </c>
      <c r="D266">
        <v>31</v>
      </c>
    </row>
    <row r="267" spans="1:4" x14ac:dyDescent="0.35">
      <c r="A267" s="45" t="s">
        <v>85</v>
      </c>
      <c r="B267">
        <v>7687.03</v>
      </c>
      <c r="C267">
        <v>86.371099999999998</v>
      </c>
      <c r="D267">
        <v>89</v>
      </c>
    </row>
    <row r="268" spans="1:4" x14ac:dyDescent="0.35">
      <c r="A268" s="45" t="s">
        <v>115</v>
      </c>
      <c r="B268">
        <v>17682.59</v>
      </c>
      <c r="C268">
        <v>333.63380000000001</v>
      </c>
      <c r="D268">
        <v>53</v>
      </c>
    </row>
    <row r="269" spans="1:4" x14ac:dyDescent="0.35">
      <c r="A269" s="45" t="s">
        <v>116</v>
      </c>
      <c r="B269">
        <v>3323.51</v>
      </c>
      <c r="C269">
        <v>97.750299999999996</v>
      </c>
      <c r="D269">
        <v>34</v>
      </c>
    </row>
    <row r="270" spans="1:4" x14ac:dyDescent="0.35">
      <c r="A270" s="45" t="s">
        <v>117</v>
      </c>
      <c r="B270">
        <v>4611.49</v>
      </c>
      <c r="C270">
        <v>135.63210000000001</v>
      </c>
      <c r="D270">
        <v>34</v>
      </c>
    </row>
    <row r="271" spans="1:4" x14ac:dyDescent="0.35">
      <c r="A271" s="45" t="s">
        <v>104</v>
      </c>
      <c r="B271">
        <v>4004.16</v>
      </c>
      <c r="C271">
        <v>87.046999999999997</v>
      </c>
      <c r="D271">
        <v>46</v>
      </c>
    </row>
    <row r="272" spans="1:4" x14ac:dyDescent="0.35">
      <c r="A272" s="45" t="s">
        <v>102</v>
      </c>
      <c r="B272">
        <v>7172.52</v>
      </c>
      <c r="C272">
        <v>159.38929999999999</v>
      </c>
      <c r="D272">
        <v>45</v>
      </c>
    </row>
    <row r="273" spans="1:4" x14ac:dyDescent="0.35">
      <c r="A273" s="45" t="s">
        <v>118</v>
      </c>
      <c r="B273">
        <v>5183.18</v>
      </c>
      <c r="C273">
        <v>123.40900000000001</v>
      </c>
      <c r="D273">
        <v>42</v>
      </c>
    </row>
    <row r="274" spans="1:4" x14ac:dyDescent="0.35">
      <c r="A274" s="45" t="s">
        <v>100</v>
      </c>
      <c r="B274">
        <v>7626.62</v>
      </c>
      <c r="C274">
        <v>173.3323</v>
      </c>
      <c r="D274">
        <v>44</v>
      </c>
    </row>
    <row r="275" spans="1:4" x14ac:dyDescent="0.35">
      <c r="A275" s="45" t="s">
        <v>119</v>
      </c>
      <c r="B275">
        <v>4424.16</v>
      </c>
      <c r="C275">
        <v>105.33710000000001</v>
      </c>
      <c r="D275">
        <v>42</v>
      </c>
    </row>
    <row r="276" spans="1:4" x14ac:dyDescent="0.35">
      <c r="A276" s="45" t="s">
        <v>108</v>
      </c>
      <c r="B276">
        <v>5816.54</v>
      </c>
      <c r="C276">
        <v>132.19409999999999</v>
      </c>
      <c r="D276">
        <v>44</v>
      </c>
    </row>
    <row r="277" spans="1:4" x14ac:dyDescent="0.35">
      <c r="A277" s="1" t="s">
        <v>22</v>
      </c>
      <c r="B277">
        <v>113336.1</v>
      </c>
      <c r="C277">
        <v>2505.7950000000001</v>
      </c>
      <c r="D277">
        <v>828</v>
      </c>
    </row>
    <row r="278" spans="1:4" x14ac:dyDescent="0.35">
      <c r="A278" s="45" t="s">
        <v>89</v>
      </c>
      <c r="B278">
        <v>4722.54</v>
      </c>
      <c r="C278">
        <v>118.0635</v>
      </c>
      <c r="D278">
        <v>40</v>
      </c>
    </row>
    <row r="279" spans="1:4" x14ac:dyDescent="0.35">
      <c r="A279" s="45" t="s">
        <v>106</v>
      </c>
      <c r="B279">
        <v>5520.06</v>
      </c>
      <c r="C279">
        <v>134.63560000000001</v>
      </c>
      <c r="D279">
        <v>41</v>
      </c>
    </row>
    <row r="280" spans="1:4" x14ac:dyDescent="0.35">
      <c r="A280" s="45" t="s">
        <v>97</v>
      </c>
      <c r="B280">
        <v>5756.99</v>
      </c>
      <c r="C280">
        <v>115.13979999999999</v>
      </c>
      <c r="D280">
        <v>50</v>
      </c>
    </row>
    <row r="281" spans="1:4" x14ac:dyDescent="0.35">
      <c r="A281" s="45" t="s">
        <v>112</v>
      </c>
      <c r="B281">
        <v>7408.15</v>
      </c>
      <c r="C281">
        <v>154.3365</v>
      </c>
      <c r="D281">
        <v>48</v>
      </c>
    </row>
    <row r="282" spans="1:4" x14ac:dyDescent="0.35">
      <c r="A282" s="45" t="s">
        <v>81</v>
      </c>
      <c r="B282">
        <v>12828.58</v>
      </c>
      <c r="C282">
        <v>127.01560000000001</v>
      </c>
      <c r="D282">
        <v>101</v>
      </c>
    </row>
    <row r="283" spans="1:4" x14ac:dyDescent="0.35">
      <c r="A283" s="45" t="s">
        <v>113</v>
      </c>
      <c r="B283">
        <v>3278.07</v>
      </c>
      <c r="C283">
        <v>117.07389999999999</v>
      </c>
      <c r="D283">
        <v>28</v>
      </c>
    </row>
    <row r="284" spans="1:4" x14ac:dyDescent="0.35">
      <c r="A284" s="45" t="s">
        <v>93</v>
      </c>
      <c r="B284">
        <v>9487.2000000000007</v>
      </c>
      <c r="C284">
        <v>263.5333</v>
      </c>
      <c r="D284">
        <v>36</v>
      </c>
    </row>
    <row r="285" spans="1:4" x14ac:dyDescent="0.35">
      <c r="A285" s="45" t="s">
        <v>114</v>
      </c>
      <c r="B285">
        <v>5194.12</v>
      </c>
      <c r="C285">
        <v>126.6859</v>
      </c>
      <c r="D285">
        <v>41</v>
      </c>
    </row>
    <row r="286" spans="1:4" x14ac:dyDescent="0.35">
      <c r="A286" s="45" t="s">
        <v>85</v>
      </c>
      <c r="B286">
        <v>12084.49</v>
      </c>
      <c r="C286">
        <v>147.37180000000001</v>
      </c>
      <c r="D286">
        <v>82</v>
      </c>
    </row>
    <row r="287" spans="1:4" x14ac:dyDescent="0.35">
      <c r="A287" s="45" t="s">
        <v>115</v>
      </c>
      <c r="B287">
        <v>2613.06</v>
      </c>
      <c r="C287">
        <v>60.768799999999999</v>
      </c>
      <c r="D287">
        <v>43</v>
      </c>
    </row>
    <row r="288" spans="1:4" x14ac:dyDescent="0.35">
      <c r="A288" s="45" t="s">
        <v>116</v>
      </c>
      <c r="B288">
        <v>4249.46</v>
      </c>
      <c r="C288">
        <v>101.1776</v>
      </c>
      <c r="D288">
        <v>42</v>
      </c>
    </row>
    <row r="289" spans="1:4" x14ac:dyDescent="0.35">
      <c r="A289" s="45" t="s">
        <v>117</v>
      </c>
      <c r="B289">
        <v>7233.76</v>
      </c>
      <c r="C289">
        <v>153.90979999999999</v>
      </c>
      <c r="D289">
        <v>47</v>
      </c>
    </row>
    <row r="290" spans="1:4" x14ac:dyDescent="0.35">
      <c r="A290" s="45" t="s">
        <v>104</v>
      </c>
      <c r="B290">
        <v>6329.45</v>
      </c>
      <c r="C290">
        <v>150.7012</v>
      </c>
      <c r="D290">
        <v>42</v>
      </c>
    </row>
    <row r="291" spans="1:4" x14ac:dyDescent="0.35">
      <c r="A291" s="45" t="s">
        <v>102</v>
      </c>
      <c r="B291">
        <v>5318.61</v>
      </c>
      <c r="C291">
        <v>143.74619999999999</v>
      </c>
      <c r="D291">
        <v>37</v>
      </c>
    </row>
    <row r="292" spans="1:4" x14ac:dyDescent="0.35">
      <c r="A292" s="45" t="s">
        <v>118</v>
      </c>
      <c r="B292">
        <v>3084.33</v>
      </c>
      <c r="C292">
        <v>79.085400000000007</v>
      </c>
      <c r="D292">
        <v>39</v>
      </c>
    </row>
    <row r="293" spans="1:4" x14ac:dyDescent="0.35">
      <c r="A293" s="45" t="s">
        <v>100</v>
      </c>
      <c r="B293">
        <v>8511.25</v>
      </c>
      <c r="C293">
        <v>265.97660000000002</v>
      </c>
      <c r="D293">
        <v>32</v>
      </c>
    </row>
    <row r="294" spans="1:4" x14ac:dyDescent="0.35">
      <c r="A294" s="45" t="s">
        <v>119</v>
      </c>
      <c r="B294">
        <v>4984.8</v>
      </c>
      <c r="C294">
        <v>131.1789</v>
      </c>
      <c r="D294">
        <v>38</v>
      </c>
    </row>
    <row r="295" spans="1:4" x14ac:dyDescent="0.35">
      <c r="A295" s="45" t="s">
        <v>108</v>
      </c>
      <c r="B295">
        <v>4731.18</v>
      </c>
      <c r="C295">
        <v>115.3946</v>
      </c>
      <c r="D295">
        <v>41</v>
      </c>
    </row>
    <row r="296" spans="1:4" x14ac:dyDescent="0.35">
      <c r="A296" s="1" t="s">
        <v>23</v>
      </c>
      <c r="B296">
        <v>131835.33000000002</v>
      </c>
      <c r="C296">
        <v>2503.1529</v>
      </c>
      <c r="D296">
        <v>959</v>
      </c>
    </row>
    <row r="297" spans="1:4" x14ac:dyDescent="0.35">
      <c r="A297" s="45" t="s">
        <v>89</v>
      </c>
      <c r="B297">
        <v>10391.200000000001</v>
      </c>
      <c r="C297">
        <v>199.83080000000001</v>
      </c>
      <c r="D297">
        <v>52</v>
      </c>
    </row>
    <row r="298" spans="1:4" x14ac:dyDescent="0.35">
      <c r="A298" s="45" t="s">
        <v>106</v>
      </c>
      <c r="B298">
        <v>5255.09</v>
      </c>
      <c r="C298">
        <v>107.2467</v>
      </c>
      <c r="D298">
        <v>49</v>
      </c>
    </row>
    <row r="299" spans="1:4" x14ac:dyDescent="0.35">
      <c r="A299" s="45" t="s">
        <v>97</v>
      </c>
      <c r="B299">
        <v>9441.2199999999993</v>
      </c>
      <c r="C299">
        <v>168.5932</v>
      </c>
      <c r="D299">
        <v>56</v>
      </c>
    </row>
    <row r="300" spans="1:4" x14ac:dyDescent="0.35">
      <c r="A300" s="45" t="s">
        <v>112</v>
      </c>
      <c r="B300">
        <v>5063.0600000000004</v>
      </c>
      <c r="C300">
        <v>99.275700000000001</v>
      </c>
      <c r="D300">
        <v>51</v>
      </c>
    </row>
    <row r="301" spans="1:4" x14ac:dyDescent="0.35">
      <c r="A301" s="45" t="s">
        <v>81</v>
      </c>
      <c r="B301">
        <v>16091.14</v>
      </c>
      <c r="C301">
        <v>126.70189999999999</v>
      </c>
      <c r="D301">
        <v>127</v>
      </c>
    </row>
    <row r="302" spans="1:4" x14ac:dyDescent="0.35">
      <c r="A302" s="45" t="s">
        <v>113</v>
      </c>
      <c r="B302">
        <v>6382.4</v>
      </c>
      <c r="C302">
        <v>151.96190000000001</v>
      </c>
      <c r="D302">
        <v>42</v>
      </c>
    </row>
    <row r="303" spans="1:4" x14ac:dyDescent="0.35">
      <c r="A303" s="45" t="s">
        <v>93</v>
      </c>
      <c r="B303">
        <v>4609.6099999999997</v>
      </c>
      <c r="C303">
        <v>102.4358</v>
      </c>
      <c r="D303">
        <v>45</v>
      </c>
    </row>
    <row r="304" spans="1:4" x14ac:dyDescent="0.35">
      <c r="A304" s="45" t="s">
        <v>114</v>
      </c>
      <c r="B304">
        <v>5386.56</v>
      </c>
      <c r="C304">
        <v>109.9298</v>
      </c>
      <c r="D304">
        <v>49</v>
      </c>
    </row>
    <row r="305" spans="1:4" x14ac:dyDescent="0.35">
      <c r="A305" s="45" t="s">
        <v>85</v>
      </c>
      <c r="B305">
        <v>12237.97</v>
      </c>
      <c r="C305">
        <v>137.50530000000001</v>
      </c>
      <c r="D305">
        <v>89</v>
      </c>
    </row>
    <row r="306" spans="1:4" x14ac:dyDescent="0.35">
      <c r="A306" s="45" t="s">
        <v>115</v>
      </c>
      <c r="B306">
        <v>9155.92</v>
      </c>
      <c r="C306">
        <v>199.04169999999999</v>
      </c>
      <c r="D306">
        <v>46</v>
      </c>
    </row>
    <row r="307" spans="1:4" x14ac:dyDescent="0.35">
      <c r="A307" s="45" t="s">
        <v>116</v>
      </c>
      <c r="B307">
        <v>7908.55</v>
      </c>
      <c r="C307">
        <v>188.2988</v>
      </c>
      <c r="D307">
        <v>42</v>
      </c>
    </row>
    <row r="308" spans="1:4" x14ac:dyDescent="0.35">
      <c r="A308" s="45" t="s">
        <v>117</v>
      </c>
      <c r="B308">
        <v>5110.29</v>
      </c>
      <c r="C308">
        <v>102.2058</v>
      </c>
      <c r="D308">
        <v>50</v>
      </c>
    </row>
    <row r="309" spans="1:4" x14ac:dyDescent="0.35">
      <c r="A309" s="45" t="s">
        <v>104</v>
      </c>
      <c r="B309">
        <v>7788.02</v>
      </c>
      <c r="C309">
        <v>189.95169999999999</v>
      </c>
      <c r="D309">
        <v>41</v>
      </c>
    </row>
    <row r="310" spans="1:4" x14ac:dyDescent="0.35">
      <c r="A310" s="45" t="s">
        <v>102</v>
      </c>
      <c r="B310">
        <v>4085.39</v>
      </c>
      <c r="C310">
        <v>80.105699999999999</v>
      </c>
      <c r="D310">
        <v>51</v>
      </c>
    </row>
    <row r="311" spans="1:4" x14ac:dyDescent="0.35">
      <c r="A311" s="45" t="s">
        <v>118</v>
      </c>
      <c r="B311">
        <v>5938.36</v>
      </c>
      <c r="C311">
        <v>164.95439999999999</v>
      </c>
      <c r="D311">
        <v>36</v>
      </c>
    </row>
    <row r="312" spans="1:4" x14ac:dyDescent="0.35">
      <c r="A312" s="45" t="s">
        <v>100</v>
      </c>
      <c r="B312">
        <v>8182.57</v>
      </c>
      <c r="C312">
        <v>146.1173</v>
      </c>
      <c r="D312">
        <v>56</v>
      </c>
    </row>
    <row r="313" spans="1:4" x14ac:dyDescent="0.35">
      <c r="A313" s="45" t="s">
        <v>119</v>
      </c>
      <c r="B313">
        <v>4669.3599999999997</v>
      </c>
      <c r="C313">
        <v>122.8779</v>
      </c>
      <c r="D313">
        <v>38</v>
      </c>
    </row>
    <row r="314" spans="1:4" x14ac:dyDescent="0.35">
      <c r="A314" s="45" t="s">
        <v>108</v>
      </c>
      <c r="B314">
        <v>4138.62</v>
      </c>
      <c r="C314">
        <v>106.1185</v>
      </c>
      <c r="D314">
        <v>39</v>
      </c>
    </row>
    <row r="315" spans="1:4" x14ac:dyDescent="0.35">
      <c r="A315" s="1" t="s">
        <v>24</v>
      </c>
      <c r="B315">
        <v>126201.3</v>
      </c>
      <c r="C315">
        <v>2722.6250999999997</v>
      </c>
      <c r="D315">
        <v>849</v>
      </c>
    </row>
    <row r="316" spans="1:4" x14ac:dyDescent="0.35">
      <c r="A316" s="45" t="s">
        <v>89</v>
      </c>
      <c r="B316">
        <v>5671.29</v>
      </c>
      <c r="C316">
        <v>109.0633</v>
      </c>
      <c r="D316">
        <v>52</v>
      </c>
    </row>
    <row r="317" spans="1:4" x14ac:dyDescent="0.35">
      <c r="A317" s="45" t="s">
        <v>106</v>
      </c>
      <c r="B317">
        <v>3433.87</v>
      </c>
      <c r="C317">
        <v>107.30840000000001</v>
      </c>
      <c r="D317">
        <v>32</v>
      </c>
    </row>
    <row r="318" spans="1:4" x14ac:dyDescent="0.35">
      <c r="A318" s="45" t="s">
        <v>97</v>
      </c>
      <c r="B318">
        <v>8061.47</v>
      </c>
      <c r="C318">
        <v>217.8776</v>
      </c>
      <c r="D318">
        <v>37</v>
      </c>
    </row>
    <row r="319" spans="1:4" x14ac:dyDescent="0.35">
      <c r="A319" s="45" t="s">
        <v>112</v>
      </c>
      <c r="B319">
        <v>5663.92</v>
      </c>
      <c r="C319">
        <v>115.5902</v>
      </c>
      <c r="D319">
        <v>49</v>
      </c>
    </row>
    <row r="320" spans="1:4" x14ac:dyDescent="0.35">
      <c r="A320" s="45" t="s">
        <v>81</v>
      </c>
      <c r="B320">
        <v>12379.16</v>
      </c>
      <c r="C320">
        <v>109.5501</v>
      </c>
      <c r="D320">
        <v>113</v>
      </c>
    </row>
    <row r="321" spans="1:4" x14ac:dyDescent="0.35">
      <c r="A321" s="45" t="s">
        <v>113</v>
      </c>
      <c r="B321">
        <v>10998.42</v>
      </c>
      <c r="C321">
        <v>274.96050000000002</v>
      </c>
      <c r="D321">
        <v>40</v>
      </c>
    </row>
    <row r="322" spans="1:4" x14ac:dyDescent="0.35">
      <c r="A322" s="45" t="s">
        <v>93</v>
      </c>
      <c r="B322">
        <v>4159.6400000000003</v>
      </c>
      <c r="C322">
        <v>103.991</v>
      </c>
      <c r="D322">
        <v>40</v>
      </c>
    </row>
    <row r="323" spans="1:4" x14ac:dyDescent="0.35">
      <c r="A323" s="45" t="s">
        <v>114</v>
      </c>
      <c r="B323">
        <v>3701.64</v>
      </c>
      <c r="C323">
        <v>92.540999999999997</v>
      </c>
      <c r="D323">
        <v>40</v>
      </c>
    </row>
    <row r="324" spans="1:4" x14ac:dyDescent="0.35">
      <c r="A324" s="45" t="s">
        <v>85</v>
      </c>
      <c r="B324">
        <v>16408.02</v>
      </c>
      <c r="C324">
        <v>200.09780000000001</v>
      </c>
      <c r="D324">
        <v>82</v>
      </c>
    </row>
    <row r="325" spans="1:4" x14ac:dyDescent="0.35">
      <c r="A325" s="45" t="s">
        <v>115</v>
      </c>
      <c r="B325">
        <v>10936</v>
      </c>
      <c r="C325">
        <v>254.32560000000001</v>
      </c>
      <c r="D325">
        <v>43</v>
      </c>
    </row>
    <row r="326" spans="1:4" x14ac:dyDescent="0.35">
      <c r="A326" s="45" t="s">
        <v>116</v>
      </c>
      <c r="B326">
        <v>4713.18</v>
      </c>
      <c r="C326">
        <v>112.2186</v>
      </c>
      <c r="D326">
        <v>42</v>
      </c>
    </row>
    <row r="327" spans="1:4" x14ac:dyDescent="0.35">
      <c r="A327" s="45" t="s">
        <v>117</v>
      </c>
      <c r="B327">
        <v>4860.1400000000003</v>
      </c>
      <c r="C327">
        <v>103.4072</v>
      </c>
      <c r="D327">
        <v>47</v>
      </c>
    </row>
    <row r="328" spans="1:4" x14ac:dyDescent="0.35">
      <c r="A328" s="45" t="s">
        <v>104</v>
      </c>
      <c r="B328">
        <v>5366.17</v>
      </c>
      <c r="C328">
        <v>145.0316</v>
      </c>
      <c r="D328">
        <v>37</v>
      </c>
    </row>
    <row r="329" spans="1:4" x14ac:dyDescent="0.35">
      <c r="A329" s="45" t="s">
        <v>102</v>
      </c>
      <c r="B329">
        <v>6118.56</v>
      </c>
      <c r="C329">
        <v>130.18209999999999</v>
      </c>
      <c r="D329">
        <v>47</v>
      </c>
    </row>
    <row r="330" spans="1:4" x14ac:dyDescent="0.35">
      <c r="A330" s="45" t="s">
        <v>118</v>
      </c>
      <c r="B330">
        <v>3361.42</v>
      </c>
      <c r="C330">
        <v>96.040599999999998</v>
      </c>
      <c r="D330">
        <v>35</v>
      </c>
    </row>
    <row r="331" spans="1:4" x14ac:dyDescent="0.35">
      <c r="A331" s="45" t="s">
        <v>100</v>
      </c>
      <c r="B331">
        <v>8522.02</v>
      </c>
      <c r="C331">
        <v>250.64760000000001</v>
      </c>
      <c r="D331">
        <v>34</v>
      </c>
    </row>
    <row r="332" spans="1:4" x14ac:dyDescent="0.35">
      <c r="A332" s="45" t="s">
        <v>119</v>
      </c>
      <c r="B332">
        <v>5666.51</v>
      </c>
      <c r="C332">
        <v>145.29509999999999</v>
      </c>
      <c r="D332">
        <v>39</v>
      </c>
    </row>
    <row r="333" spans="1:4" x14ac:dyDescent="0.35">
      <c r="A333" s="45" t="s">
        <v>108</v>
      </c>
      <c r="B333">
        <v>6179.87</v>
      </c>
      <c r="C333">
        <v>154.49680000000001</v>
      </c>
      <c r="D333">
        <v>40</v>
      </c>
    </row>
    <row r="334" spans="1:4" x14ac:dyDescent="0.35">
      <c r="A334" s="1" t="s">
        <v>25</v>
      </c>
      <c r="B334">
        <v>110745.7</v>
      </c>
      <c r="C334">
        <v>2411.2573000000002</v>
      </c>
      <c r="D334">
        <v>841</v>
      </c>
    </row>
    <row r="335" spans="1:4" x14ac:dyDescent="0.35">
      <c r="A335" s="45" t="s">
        <v>89</v>
      </c>
      <c r="B335">
        <v>5469.19</v>
      </c>
      <c r="C335">
        <v>156.26259999999999</v>
      </c>
      <c r="D335">
        <v>35</v>
      </c>
    </row>
    <row r="336" spans="1:4" x14ac:dyDescent="0.35">
      <c r="A336" s="45" t="s">
        <v>106</v>
      </c>
      <c r="B336">
        <v>5495.08</v>
      </c>
      <c r="C336">
        <v>140.89949999999999</v>
      </c>
      <c r="D336">
        <v>39</v>
      </c>
    </row>
    <row r="337" spans="1:4" x14ac:dyDescent="0.35">
      <c r="A337" s="45" t="s">
        <v>97</v>
      </c>
      <c r="B337">
        <v>3519.31</v>
      </c>
      <c r="C337">
        <v>103.5091</v>
      </c>
      <c r="D337">
        <v>34</v>
      </c>
    </row>
    <row r="338" spans="1:4" x14ac:dyDescent="0.35">
      <c r="A338" s="45" t="s">
        <v>112</v>
      </c>
      <c r="B338">
        <v>6617.71</v>
      </c>
      <c r="C338">
        <v>189.07740000000001</v>
      </c>
      <c r="D338">
        <v>35</v>
      </c>
    </row>
    <row r="339" spans="1:4" x14ac:dyDescent="0.35">
      <c r="A339" s="45" t="s">
        <v>81</v>
      </c>
      <c r="B339">
        <v>15737.1</v>
      </c>
      <c r="C339">
        <v>118.3241</v>
      </c>
      <c r="D339">
        <v>133</v>
      </c>
    </row>
    <row r="340" spans="1:4" x14ac:dyDescent="0.35">
      <c r="A340" s="45" t="s">
        <v>113</v>
      </c>
      <c r="B340">
        <v>3244.39</v>
      </c>
      <c r="C340">
        <v>83.189499999999995</v>
      </c>
      <c r="D340">
        <v>39</v>
      </c>
    </row>
    <row r="341" spans="1:4" x14ac:dyDescent="0.35">
      <c r="A341" s="45" t="s">
        <v>93</v>
      </c>
      <c r="B341">
        <v>2895.56</v>
      </c>
      <c r="C341">
        <v>60.324199999999998</v>
      </c>
      <c r="D341">
        <v>48</v>
      </c>
    </row>
    <row r="342" spans="1:4" x14ac:dyDescent="0.35">
      <c r="A342" s="45" t="s">
        <v>114</v>
      </c>
      <c r="B342">
        <v>10327.709999999999</v>
      </c>
      <c r="C342">
        <v>258.19279999999998</v>
      </c>
      <c r="D342">
        <v>40</v>
      </c>
    </row>
    <row r="343" spans="1:4" x14ac:dyDescent="0.35">
      <c r="A343" s="45" t="s">
        <v>85</v>
      </c>
      <c r="B343">
        <v>10019.74</v>
      </c>
      <c r="C343">
        <v>143.13910000000001</v>
      </c>
      <c r="D343">
        <v>70</v>
      </c>
    </row>
    <row r="344" spans="1:4" x14ac:dyDescent="0.35">
      <c r="A344" s="45" t="s">
        <v>115</v>
      </c>
      <c r="B344">
        <v>6976.33</v>
      </c>
      <c r="C344">
        <v>142.3741</v>
      </c>
      <c r="D344">
        <v>49</v>
      </c>
    </row>
    <row r="345" spans="1:4" x14ac:dyDescent="0.35">
      <c r="A345" s="45" t="s">
        <v>116</v>
      </c>
      <c r="B345">
        <v>5988.16</v>
      </c>
      <c r="C345">
        <v>153.54259999999999</v>
      </c>
      <c r="D345">
        <v>39</v>
      </c>
    </row>
    <row r="346" spans="1:4" x14ac:dyDescent="0.35">
      <c r="A346" s="45" t="s">
        <v>117</v>
      </c>
      <c r="B346">
        <v>3401.94</v>
      </c>
      <c r="C346">
        <v>85.048500000000004</v>
      </c>
      <c r="D346">
        <v>40</v>
      </c>
    </row>
    <row r="347" spans="1:4" x14ac:dyDescent="0.35">
      <c r="A347" s="45" t="s">
        <v>104</v>
      </c>
      <c r="B347">
        <v>7091.41</v>
      </c>
      <c r="C347">
        <v>157.58690000000001</v>
      </c>
      <c r="D347">
        <v>45</v>
      </c>
    </row>
    <row r="348" spans="1:4" x14ac:dyDescent="0.35">
      <c r="A348" s="45" t="s">
        <v>102</v>
      </c>
      <c r="B348">
        <v>3447.8</v>
      </c>
      <c r="C348">
        <v>74.952200000000005</v>
      </c>
      <c r="D348">
        <v>46</v>
      </c>
    </row>
    <row r="349" spans="1:4" x14ac:dyDescent="0.35">
      <c r="A349" s="45" t="s">
        <v>118</v>
      </c>
      <c r="B349">
        <v>4261.38</v>
      </c>
      <c r="C349">
        <v>109.2662</v>
      </c>
      <c r="D349">
        <v>39</v>
      </c>
    </row>
    <row r="350" spans="1:4" x14ac:dyDescent="0.35">
      <c r="A350" s="45" t="s">
        <v>100</v>
      </c>
      <c r="B350">
        <v>3468.37</v>
      </c>
      <c r="C350">
        <v>96.343599999999995</v>
      </c>
      <c r="D350">
        <v>36</v>
      </c>
    </row>
    <row r="351" spans="1:4" x14ac:dyDescent="0.35">
      <c r="A351" s="45" t="s">
        <v>119</v>
      </c>
      <c r="B351">
        <v>3895.93</v>
      </c>
      <c r="C351">
        <v>111.31229999999999</v>
      </c>
      <c r="D351">
        <v>35</v>
      </c>
    </row>
    <row r="352" spans="1:4" x14ac:dyDescent="0.35">
      <c r="A352" s="45" t="s">
        <v>108</v>
      </c>
      <c r="B352">
        <v>8888.59</v>
      </c>
      <c r="C352">
        <v>227.9126</v>
      </c>
      <c r="D352">
        <v>39</v>
      </c>
    </row>
    <row r="353" spans="1:4" x14ac:dyDescent="0.35">
      <c r="A353" s="1" t="s">
        <v>26</v>
      </c>
      <c r="B353">
        <v>137070.84</v>
      </c>
      <c r="C353">
        <v>2612.7076999999999</v>
      </c>
      <c r="D353">
        <v>942</v>
      </c>
    </row>
    <row r="354" spans="1:4" x14ac:dyDescent="0.35">
      <c r="A354" s="45" t="s">
        <v>89</v>
      </c>
      <c r="B354">
        <v>7615.79</v>
      </c>
      <c r="C354">
        <v>138.46889999999999</v>
      </c>
      <c r="D354">
        <v>55</v>
      </c>
    </row>
    <row r="355" spans="1:4" x14ac:dyDescent="0.35">
      <c r="A355" s="45" t="s">
        <v>106</v>
      </c>
      <c r="B355">
        <v>8849.6299999999992</v>
      </c>
      <c r="C355">
        <v>166.9742</v>
      </c>
      <c r="D355">
        <v>53</v>
      </c>
    </row>
    <row r="356" spans="1:4" x14ac:dyDescent="0.35">
      <c r="A356" s="45" t="s">
        <v>97</v>
      </c>
      <c r="B356">
        <v>4644.8100000000004</v>
      </c>
      <c r="C356">
        <v>113.288</v>
      </c>
      <c r="D356">
        <v>41</v>
      </c>
    </row>
    <row r="357" spans="1:4" x14ac:dyDescent="0.35">
      <c r="A357" s="45" t="s">
        <v>112</v>
      </c>
      <c r="B357">
        <v>9305.31</v>
      </c>
      <c r="C357">
        <v>197.9853</v>
      </c>
      <c r="D357">
        <v>47</v>
      </c>
    </row>
    <row r="358" spans="1:4" x14ac:dyDescent="0.35">
      <c r="A358" s="45" t="s">
        <v>81</v>
      </c>
      <c r="B358">
        <v>15788.42</v>
      </c>
      <c r="C358">
        <v>130.4828</v>
      </c>
      <c r="D358">
        <v>121</v>
      </c>
    </row>
    <row r="359" spans="1:4" x14ac:dyDescent="0.35">
      <c r="A359" s="45" t="s">
        <v>113</v>
      </c>
      <c r="B359">
        <v>5576.32</v>
      </c>
      <c r="C359">
        <v>139.40799999999999</v>
      </c>
      <c r="D359">
        <v>40</v>
      </c>
    </row>
    <row r="360" spans="1:4" x14ac:dyDescent="0.35">
      <c r="A360" s="45" t="s">
        <v>93</v>
      </c>
      <c r="B360">
        <v>8635.93</v>
      </c>
      <c r="C360">
        <v>166.07560000000001</v>
      </c>
      <c r="D360">
        <v>52</v>
      </c>
    </row>
    <row r="361" spans="1:4" x14ac:dyDescent="0.35">
      <c r="A361" s="45" t="s">
        <v>114</v>
      </c>
      <c r="B361">
        <v>8138.98</v>
      </c>
      <c r="C361">
        <v>162.77959999999999</v>
      </c>
      <c r="D361">
        <v>50</v>
      </c>
    </row>
    <row r="362" spans="1:4" x14ac:dyDescent="0.35">
      <c r="A362" s="45" t="s">
        <v>85</v>
      </c>
      <c r="B362">
        <v>13822.19</v>
      </c>
      <c r="C362">
        <v>155.30549999999999</v>
      </c>
      <c r="D362">
        <v>89</v>
      </c>
    </row>
    <row r="363" spans="1:4" x14ac:dyDescent="0.35">
      <c r="A363" s="45" t="s">
        <v>115</v>
      </c>
      <c r="B363">
        <v>5501.43</v>
      </c>
      <c r="C363">
        <v>127.9402</v>
      </c>
      <c r="D363">
        <v>43</v>
      </c>
    </row>
    <row r="364" spans="1:4" x14ac:dyDescent="0.35">
      <c r="A364" s="45" t="s">
        <v>116</v>
      </c>
      <c r="B364">
        <v>2388.94</v>
      </c>
      <c r="C364">
        <v>56.8795</v>
      </c>
      <c r="D364">
        <v>42</v>
      </c>
    </row>
    <row r="365" spans="1:4" x14ac:dyDescent="0.35">
      <c r="A365" s="45" t="s">
        <v>117</v>
      </c>
      <c r="B365">
        <v>8518.59</v>
      </c>
      <c r="C365">
        <v>224.17339999999999</v>
      </c>
      <c r="D365">
        <v>38</v>
      </c>
    </row>
    <row r="366" spans="1:4" x14ac:dyDescent="0.35">
      <c r="A366" s="45" t="s">
        <v>104</v>
      </c>
      <c r="B366">
        <v>5570.42</v>
      </c>
      <c r="C366">
        <v>129.54470000000001</v>
      </c>
      <c r="D366">
        <v>43</v>
      </c>
    </row>
    <row r="367" spans="1:4" x14ac:dyDescent="0.35">
      <c r="A367" s="45" t="s">
        <v>102</v>
      </c>
      <c r="B367">
        <v>9987.08</v>
      </c>
      <c r="C367">
        <v>188.43549999999999</v>
      </c>
      <c r="D367">
        <v>53</v>
      </c>
    </row>
    <row r="368" spans="1:4" x14ac:dyDescent="0.35">
      <c r="A368" s="45" t="s">
        <v>118</v>
      </c>
      <c r="B368">
        <v>4815.6099999999997</v>
      </c>
      <c r="C368">
        <v>120.3903</v>
      </c>
      <c r="D368">
        <v>40</v>
      </c>
    </row>
    <row r="369" spans="1:4" x14ac:dyDescent="0.35">
      <c r="A369" s="45" t="s">
        <v>100</v>
      </c>
      <c r="B369">
        <v>5687.64</v>
      </c>
      <c r="C369">
        <v>135.41999999999999</v>
      </c>
      <c r="D369">
        <v>42</v>
      </c>
    </row>
    <row r="370" spans="1:4" x14ac:dyDescent="0.35">
      <c r="A370" s="45" t="s">
        <v>119</v>
      </c>
      <c r="B370">
        <v>7555.81</v>
      </c>
      <c r="C370">
        <v>145.304</v>
      </c>
      <c r="D370">
        <v>52</v>
      </c>
    </row>
    <row r="371" spans="1:4" x14ac:dyDescent="0.35">
      <c r="A371" s="45" t="s">
        <v>108</v>
      </c>
      <c r="B371">
        <v>4667.9399999999996</v>
      </c>
      <c r="C371">
        <v>113.8522</v>
      </c>
      <c r="D371">
        <v>41</v>
      </c>
    </row>
    <row r="372" spans="1:4" x14ac:dyDescent="0.35">
      <c r="A372" s="1" t="s">
        <v>27</v>
      </c>
      <c r="B372">
        <v>132936.24</v>
      </c>
      <c r="C372">
        <v>2445.8480999999997</v>
      </c>
      <c r="D372">
        <v>949</v>
      </c>
    </row>
    <row r="373" spans="1:4" x14ac:dyDescent="0.35">
      <c r="A373" s="45" t="s">
        <v>89</v>
      </c>
      <c r="B373">
        <v>6579.21</v>
      </c>
      <c r="C373">
        <v>139.98320000000001</v>
      </c>
      <c r="D373">
        <v>47</v>
      </c>
    </row>
    <row r="374" spans="1:4" x14ac:dyDescent="0.35">
      <c r="A374" s="45" t="s">
        <v>106</v>
      </c>
      <c r="B374">
        <v>5504.76</v>
      </c>
      <c r="C374">
        <v>166.8109</v>
      </c>
      <c r="D374">
        <v>33</v>
      </c>
    </row>
    <row r="375" spans="1:4" x14ac:dyDescent="0.35">
      <c r="A375" s="45" t="s">
        <v>97</v>
      </c>
      <c r="B375">
        <v>6733.22</v>
      </c>
      <c r="C375">
        <v>137.4127</v>
      </c>
      <c r="D375">
        <v>49</v>
      </c>
    </row>
    <row r="376" spans="1:4" x14ac:dyDescent="0.35">
      <c r="A376" s="45" t="s">
        <v>112</v>
      </c>
      <c r="B376">
        <v>4971.59</v>
      </c>
      <c r="C376">
        <v>88.778400000000005</v>
      </c>
      <c r="D376">
        <v>56</v>
      </c>
    </row>
    <row r="377" spans="1:4" x14ac:dyDescent="0.35">
      <c r="A377" s="45" t="s">
        <v>81</v>
      </c>
      <c r="B377">
        <v>21806.26</v>
      </c>
      <c r="C377">
        <v>163.95679999999999</v>
      </c>
      <c r="D377">
        <v>133</v>
      </c>
    </row>
    <row r="378" spans="1:4" x14ac:dyDescent="0.35">
      <c r="A378" s="45" t="s">
        <v>113</v>
      </c>
      <c r="B378">
        <v>9012.16</v>
      </c>
      <c r="C378">
        <v>176.709</v>
      </c>
      <c r="D378">
        <v>51</v>
      </c>
    </row>
    <row r="379" spans="1:4" x14ac:dyDescent="0.35">
      <c r="A379" s="45" t="s">
        <v>93</v>
      </c>
      <c r="B379">
        <v>6433.94</v>
      </c>
      <c r="C379">
        <v>112.87609999999999</v>
      </c>
      <c r="D379">
        <v>57</v>
      </c>
    </row>
    <row r="380" spans="1:4" x14ac:dyDescent="0.35">
      <c r="A380" s="45" t="s">
        <v>114</v>
      </c>
      <c r="B380">
        <v>7695.92</v>
      </c>
      <c r="C380">
        <v>178.97489999999999</v>
      </c>
      <c r="D380">
        <v>43</v>
      </c>
    </row>
    <row r="381" spans="1:4" x14ac:dyDescent="0.35">
      <c r="A381" s="45" t="s">
        <v>85</v>
      </c>
      <c r="B381">
        <v>17339.63</v>
      </c>
      <c r="C381">
        <v>176.935</v>
      </c>
      <c r="D381">
        <v>98</v>
      </c>
    </row>
    <row r="382" spans="1:4" x14ac:dyDescent="0.35">
      <c r="A382" s="45" t="s">
        <v>115</v>
      </c>
      <c r="B382">
        <v>2284.9499999999998</v>
      </c>
      <c r="C382">
        <v>61.755400000000002</v>
      </c>
      <c r="D382">
        <v>37</v>
      </c>
    </row>
    <row r="383" spans="1:4" x14ac:dyDescent="0.35">
      <c r="A383" s="45" t="s">
        <v>116</v>
      </c>
      <c r="B383">
        <v>4987.3</v>
      </c>
      <c r="C383">
        <v>121.64149999999999</v>
      </c>
      <c r="D383">
        <v>41</v>
      </c>
    </row>
    <row r="384" spans="1:4" x14ac:dyDescent="0.35">
      <c r="A384" s="45" t="s">
        <v>117</v>
      </c>
      <c r="B384">
        <v>5566.97</v>
      </c>
      <c r="C384">
        <v>154.63810000000001</v>
      </c>
      <c r="D384">
        <v>36</v>
      </c>
    </row>
    <row r="385" spans="1:4" x14ac:dyDescent="0.35">
      <c r="A385" s="45" t="s">
        <v>104</v>
      </c>
      <c r="B385">
        <v>5226.37</v>
      </c>
      <c r="C385">
        <v>96.784599999999998</v>
      </c>
      <c r="D385">
        <v>54</v>
      </c>
    </row>
    <row r="386" spans="1:4" x14ac:dyDescent="0.35">
      <c r="A386" s="45" t="s">
        <v>102</v>
      </c>
      <c r="B386">
        <v>4129.29</v>
      </c>
      <c r="C386">
        <v>111.6024</v>
      </c>
      <c r="D386">
        <v>37</v>
      </c>
    </row>
    <row r="387" spans="1:4" x14ac:dyDescent="0.35">
      <c r="A387" s="45" t="s">
        <v>118</v>
      </c>
      <c r="B387">
        <v>9006.26</v>
      </c>
      <c r="C387">
        <v>200.13910000000001</v>
      </c>
      <c r="D387">
        <v>45</v>
      </c>
    </row>
    <row r="388" spans="1:4" x14ac:dyDescent="0.35">
      <c r="A388" s="45" t="s">
        <v>100</v>
      </c>
      <c r="B388">
        <v>5903.16</v>
      </c>
      <c r="C388">
        <v>134.1627</v>
      </c>
      <c r="D388">
        <v>44</v>
      </c>
    </row>
    <row r="389" spans="1:4" x14ac:dyDescent="0.35">
      <c r="A389" s="45" t="s">
        <v>119</v>
      </c>
      <c r="B389">
        <v>5127.83</v>
      </c>
      <c r="C389">
        <v>122.0912</v>
      </c>
      <c r="D389">
        <v>42</v>
      </c>
    </row>
    <row r="390" spans="1:4" x14ac:dyDescent="0.35">
      <c r="A390" s="45" t="s">
        <v>108</v>
      </c>
      <c r="B390">
        <v>4627.42</v>
      </c>
      <c r="C390">
        <v>100.59610000000001</v>
      </c>
      <c r="D390">
        <v>46</v>
      </c>
    </row>
    <row r="391" spans="1:4" x14ac:dyDescent="0.35">
      <c r="A391" s="1" t="s">
        <v>28</v>
      </c>
      <c r="B391">
        <v>137022.6</v>
      </c>
      <c r="C391">
        <v>2957.6416999999997</v>
      </c>
      <c r="D391">
        <v>849</v>
      </c>
    </row>
    <row r="392" spans="1:4" x14ac:dyDescent="0.35">
      <c r="A392" s="45" t="s">
        <v>89</v>
      </c>
      <c r="B392">
        <v>4464.41</v>
      </c>
      <c r="C392">
        <v>124.01139999999999</v>
      </c>
      <c r="D392">
        <v>36</v>
      </c>
    </row>
    <row r="393" spans="1:4" x14ac:dyDescent="0.35">
      <c r="A393" s="45" t="s">
        <v>106</v>
      </c>
      <c r="B393">
        <v>7976.9</v>
      </c>
      <c r="C393">
        <v>221.5806</v>
      </c>
      <c r="D393">
        <v>36</v>
      </c>
    </row>
    <row r="394" spans="1:4" x14ac:dyDescent="0.35">
      <c r="A394" s="45" t="s">
        <v>97</v>
      </c>
      <c r="B394">
        <v>9350.1299999999992</v>
      </c>
      <c r="C394">
        <v>259.72579999999999</v>
      </c>
      <c r="D394">
        <v>36</v>
      </c>
    </row>
    <row r="395" spans="1:4" x14ac:dyDescent="0.35">
      <c r="A395" s="45" t="s">
        <v>112</v>
      </c>
      <c r="B395">
        <v>10594.72</v>
      </c>
      <c r="C395">
        <v>264.86799999999999</v>
      </c>
      <c r="D395">
        <v>40</v>
      </c>
    </row>
    <row r="396" spans="1:4" x14ac:dyDescent="0.35">
      <c r="A396" s="45" t="s">
        <v>81</v>
      </c>
      <c r="B396">
        <v>20945.310000000001</v>
      </c>
      <c r="C396">
        <v>163.6352</v>
      </c>
      <c r="D396">
        <v>128</v>
      </c>
    </row>
    <row r="397" spans="1:4" x14ac:dyDescent="0.35">
      <c r="A397" s="45" t="s">
        <v>113</v>
      </c>
      <c r="B397">
        <v>4730.79</v>
      </c>
      <c r="C397">
        <v>121.3023</v>
      </c>
      <c r="D397">
        <v>39</v>
      </c>
    </row>
    <row r="398" spans="1:4" x14ac:dyDescent="0.35">
      <c r="A398" s="45" t="s">
        <v>93</v>
      </c>
      <c r="B398">
        <v>2833.5</v>
      </c>
      <c r="C398">
        <v>69.109800000000007</v>
      </c>
      <c r="D398">
        <v>41</v>
      </c>
    </row>
    <row r="399" spans="1:4" x14ac:dyDescent="0.35">
      <c r="A399" s="45" t="s">
        <v>114</v>
      </c>
      <c r="B399">
        <v>3141.6</v>
      </c>
      <c r="C399">
        <v>89.76</v>
      </c>
      <c r="D399">
        <v>35</v>
      </c>
    </row>
    <row r="400" spans="1:4" x14ac:dyDescent="0.35">
      <c r="A400" s="45" t="s">
        <v>85</v>
      </c>
      <c r="B400">
        <v>8575.6200000000008</v>
      </c>
      <c r="C400">
        <v>109.9438</v>
      </c>
      <c r="D400">
        <v>78</v>
      </c>
    </row>
    <row r="401" spans="1:4" x14ac:dyDescent="0.35">
      <c r="A401" s="45" t="s">
        <v>115</v>
      </c>
      <c r="B401">
        <v>8107.14</v>
      </c>
      <c r="C401">
        <v>225.19829999999999</v>
      </c>
      <c r="D401">
        <v>36</v>
      </c>
    </row>
    <row r="402" spans="1:4" x14ac:dyDescent="0.35">
      <c r="A402" s="45" t="s">
        <v>116</v>
      </c>
      <c r="B402">
        <v>9239.08</v>
      </c>
      <c r="C402">
        <v>181.1584</v>
      </c>
      <c r="D402">
        <v>51</v>
      </c>
    </row>
    <row r="403" spans="1:4" x14ac:dyDescent="0.35">
      <c r="A403" s="45" t="s">
        <v>117</v>
      </c>
      <c r="B403">
        <v>5655.18</v>
      </c>
      <c r="C403">
        <v>171.3691</v>
      </c>
      <c r="D403">
        <v>33</v>
      </c>
    </row>
    <row r="404" spans="1:4" x14ac:dyDescent="0.35">
      <c r="A404" s="45" t="s">
        <v>104</v>
      </c>
      <c r="B404">
        <v>4943.3900000000003</v>
      </c>
      <c r="C404">
        <v>120.5705</v>
      </c>
      <c r="D404">
        <v>41</v>
      </c>
    </row>
    <row r="405" spans="1:4" x14ac:dyDescent="0.35">
      <c r="A405" s="45" t="s">
        <v>102</v>
      </c>
      <c r="B405">
        <v>7877.25</v>
      </c>
      <c r="C405">
        <v>207.2961</v>
      </c>
      <c r="D405">
        <v>38</v>
      </c>
    </row>
    <row r="406" spans="1:4" x14ac:dyDescent="0.35">
      <c r="A406" s="45" t="s">
        <v>118</v>
      </c>
      <c r="B406">
        <v>5914.99</v>
      </c>
      <c r="C406">
        <v>120.7141</v>
      </c>
      <c r="D406">
        <v>49</v>
      </c>
    </row>
    <row r="407" spans="1:4" x14ac:dyDescent="0.35">
      <c r="A407" s="45" t="s">
        <v>100</v>
      </c>
      <c r="B407">
        <v>7532.99</v>
      </c>
      <c r="C407">
        <v>167.3998</v>
      </c>
      <c r="D407">
        <v>45</v>
      </c>
    </row>
    <row r="408" spans="1:4" x14ac:dyDescent="0.35">
      <c r="A408" s="45" t="s">
        <v>119</v>
      </c>
      <c r="B408">
        <v>5280.78</v>
      </c>
      <c r="C408">
        <v>146.6883</v>
      </c>
      <c r="D408">
        <v>36</v>
      </c>
    </row>
    <row r="409" spans="1:4" x14ac:dyDescent="0.35">
      <c r="A409" s="45" t="s">
        <v>108</v>
      </c>
      <c r="B409">
        <v>9858.82</v>
      </c>
      <c r="C409">
        <v>193.31020000000001</v>
      </c>
      <c r="D409">
        <v>51</v>
      </c>
    </row>
    <row r="410" spans="1:4" x14ac:dyDescent="0.35">
      <c r="A410" s="1" t="s">
        <v>29</v>
      </c>
      <c r="B410">
        <v>118913.29999999999</v>
      </c>
      <c r="C410">
        <v>2528.8732999999997</v>
      </c>
      <c r="D410">
        <v>844</v>
      </c>
    </row>
    <row r="411" spans="1:4" x14ac:dyDescent="0.35">
      <c r="A411" s="45" t="s">
        <v>89</v>
      </c>
      <c r="B411">
        <v>6099.32</v>
      </c>
      <c r="C411">
        <v>152.483</v>
      </c>
      <c r="D411">
        <v>40</v>
      </c>
    </row>
    <row r="412" spans="1:4" x14ac:dyDescent="0.35">
      <c r="A412" s="45" t="s">
        <v>106</v>
      </c>
      <c r="B412">
        <v>6946.05</v>
      </c>
      <c r="C412">
        <v>173.65129999999999</v>
      </c>
      <c r="D412">
        <v>40</v>
      </c>
    </row>
    <row r="413" spans="1:4" x14ac:dyDescent="0.35">
      <c r="A413" s="45" t="s">
        <v>97</v>
      </c>
      <c r="B413">
        <v>4432.84</v>
      </c>
      <c r="C413">
        <v>108.11799999999999</v>
      </c>
      <c r="D413">
        <v>41</v>
      </c>
    </row>
    <row r="414" spans="1:4" x14ac:dyDescent="0.35">
      <c r="A414" s="45" t="s">
        <v>112</v>
      </c>
      <c r="B414">
        <v>5597.69</v>
      </c>
      <c r="C414">
        <v>130.1788</v>
      </c>
      <c r="D414">
        <v>43</v>
      </c>
    </row>
    <row r="415" spans="1:4" x14ac:dyDescent="0.35">
      <c r="A415" s="45" t="s">
        <v>81</v>
      </c>
      <c r="B415">
        <v>17038.64</v>
      </c>
      <c r="C415">
        <v>138.52549999999999</v>
      </c>
      <c r="D415">
        <v>123</v>
      </c>
    </row>
    <row r="416" spans="1:4" x14ac:dyDescent="0.35">
      <c r="A416" s="45" t="s">
        <v>113</v>
      </c>
      <c r="B416">
        <v>4687.25</v>
      </c>
      <c r="C416">
        <v>97.650999999999996</v>
      </c>
      <c r="D416">
        <v>48</v>
      </c>
    </row>
    <row r="417" spans="1:4" x14ac:dyDescent="0.35">
      <c r="A417" s="45" t="s">
        <v>93</v>
      </c>
      <c r="B417">
        <v>4818.95</v>
      </c>
      <c r="C417">
        <v>112.0686</v>
      </c>
      <c r="D417">
        <v>43</v>
      </c>
    </row>
    <row r="418" spans="1:4" x14ac:dyDescent="0.35">
      <c r="A418" s="45" t="s">
        <v>114</v>
      </c>
      <c r="B418">
        <v>5791.53</v>
      </c>
      <c r="C418">
        <v>134.6867</v>
      </c>
      <c r="D418">
        <v>43</v>
      </c>
    </row>
    <row r="419" spans="1:4" x14ac:dyDescent="0.35">
      <c r="A419" s="45" t="s">
        <v>85</v>
      </c>
      <c r="B419">
        <v>10302.51</v>
      </c>
      <c r="C419">
        <v>171.70849999999999</v>
      </c>
      <c r="D419">
        <v>60</v>
      </c>
    </row>
    <row r="420" spans="1:4" x14ac:dyDescent="0.35">
      <c r="A420" s="45" t="s">
        <v>115</v>
      </c>
      <c r="B420">
        <v>5435.15</v>
      </c>
      <c r="C420">
        <v>123.5261</v>
      </c>
      <c r="D420">
        <v>44</v>
      </c>
    </row>
    <row r="421" spans="1:4" x14ac:dyDescent="0.35">
      <c r="A421" s="45" t="s">
        <v>116</v>
      </c>
      <c r="B421">
        <v>7193</v>
      </c>
      <c r="C421">
        <v>167.2791</v>
      </c>
      <c r="D421">
        <v>43</v>
      </c>
    </row>
    <row r="422" spans="1:4" x14ac:dyDescent="0.35">
      <c r="A422" s="45" t="s">
        <v>117</v>
      </c>
      <c r="B422">
        <v>7742.08</v>
      </c>
      <c r="C422">
        <v>180.04839999999999</v>
      </c>
      <c r="D422">
        <v>43</v>
      </c>
    </row>
    <row r="423" spans="1:4" x14ac:dyDescent="0.35">
      <c r="A423" s="45" t="s">
        <v>104</v>
      </c>
      <c r="B423">
        <v>4791.04</v>
      </c>
      <c r="C423">
        <v>122.8472</v>
      </c>
      <c r="D423">
        <v>39</v>
      </c>
    </row>
    <row r="424" spans="1:4" x14ac:dyDescent="0.35">
      <c r="A424" s="45" t="s">
        <v>102</v>
      </c>
      <c r="B424">
        <v>3851.27</v>
      </c>
      <c r="C424">
        <v>96.281800000000004</v>
      </c>
      <c r="D424">
        <v>40</v>
      </c>
    </row>
    <row r="425" spans="1:4" x14ac:dyDescent="0.35">
      <c r="A425" s="45" t="s">
        <v>118</v>
      </c>
      <c r="B425">
        <v>3649.67</v>
      </c>
      <c r="C425">
        <v>98.639700000000005</v>
      </c>
      <c r="D425">
        <v>37</v>
      </c>
    </row>
    <row r="426" spans="1:4" x14ac:dyDescent="0.35">
      <c r="A426" s="45" t="s">
        <v>100</v>
      </c>
      <c r="B426">
        <v>9764.8799999999992</v>
      </c>
      <c r="C426">
        <v>244.12200000000001</v>
      </c>
      <c r="D426">
        <v>40</v>
      </c>
    </row>
    <row r="427" spans="1:4" x14ac:dyDescent="0.35">
      <c r="A427" s="45" t="s">
        <v>119</v>
      </c>
      <c r="B427">
        <v>6538.33</v>
      </c>
      <c r="C427">
        <v>159.47149999999999</v>
      </c>
      <c r="D427">
        <v>41</v>
      </c>
    </row>
    <row r="428" spans="1:4" x14ac:dyDescent="0.35">
      <c r="A428" s="45" t="s">
        <v>108</v>
      </c>
      <c r="B428">
        <v>4233.1000000000004</v>
      </c>
      <c r="C428">
        <v>117.5861</v>
      </c>
      <c r="D428">
        <v>36</v>
      </c>
    </row>
    <row r="429" spans="1:4" x14ac:dyDescent="0.35">
      <c r="A429" s="1" t="s">
        <v>30</v>
      </c>
      <c r="B429">
        <v>122127.52</v>
      </c>
      <c r="C429">
        <v>2468.2782999999999</v>
      </c>
      <c r="D429">
        <v>891</v>
      </c>
    </row>
    <row r="430" spans="1:4" x14ac:dyDescent="0.35">
      <c r="A430" s="45" t="s">
        <v>89</v>
      </c>
      <c r="B430">
        <v>5840.47</v>
      </c>
      <c r="C430">
        <v>135.82490000000001</v>
      </c>
      <c r="D430">
        <v>43</v>
      </c>
    </row>
    <row r="431" spans="1:4" x14ac:dyDescent="0.35">
      <c r="A431" s="45" t="s">
        <v>106</v>
      </c>
      <c r="B431">
        <v>3499.33</v>
      </c>
      <c r="C431">
        <v>97.203599999999994</v>
      </c>
      <c r="D431">
        <v>36</v>
      </c>
    </row>
    <row r="432" spans="1:4" x14ac:dyDescent="0.35">
      <c r="A432" s="45" t="s">
        <v>97</v>
      </c>
      <c r="B432">
        <v>7022.08</v>
      </c>
      <c r="C432">
        <v>175.55199999999999</v>
      </c>
      <c r="D432">
        <v>40</v>
      </c>
    </row>
    <row r="433" spans="1:4" x14ac:dyDescent="0.35">
      <c r="A433" s="45" t="s">
        <v>112</v>
      </c>
      <c r="B433">
        <v>7777.71</v>
      </c>
      <c r="C433">
        <v>176.76609999999999</v>
      </c>
      <c r="D433">
        <v>44</v>
      </c>
    </row>
    <row r="434" spans="1:4" x14ac:dyDescent="0.35">
      <c r="A434" s="45" t="s">
        <v>81</v>
      </c>
      <c r="B434">
        <v>12455.65</v>
      </c>
      <c r="C434">
        <v>101.2654</v>
      </c>
      <c r="D434">
        <v>123</v>
      </c>
    </row>
    <row r="435" spans="1:4" x14ac:dyDescent="0.35">
      <c r="A435" s="45" t="s">
        <v>113</v>
      </c>
      <c r="B435">
        <v>7494.89</v>
      </c>
      <c r="C435">
        <v>159.4657</v>
      </c>
      <c r="D435">
        <v>47</v>
      </c>
    </row>
    <row r="436" spans="1:4" x14ac:dyDescent="0.35">
      <c r="A436" s="45" t="s">
        <v>93</v>
      </c>
      <c r="B436">
        <v>6269.37</v>
      </c>
      <c r="C436">
        <v>136.29069999999999</v>
      </c>
      <c r="D436">
        <v>46</v>
      </c>
    </row>
    <row r="437" spans="1:4" x14ac:dyDescent="0.35">
      <c r="A437" s="45" t="s">
        <v>114</v>
      </c>
      <c r="B437">
        <v>6011.69</v>
      </c>
      <c r="C437">
        <v>162.47810000000001</v>
      </c>
      <c r="D437">
        <v>37</v>
      </c>
    </row>
    <row r="438" spans="1:4" x14ac:dyDescent="0.35">
      <c r="A438" s="45" t="s">
        <v>85</v>
      </c>
      <c r="B438">
        <v>16656.439999999999</v>
      </c>
      <c r="C438">
        <v>189.27770000000001</v>
      </c>
      <c r="D438">
        <v>88</v>
      </c>
    </row>
    <row r="439" spans="1:4" x14ac:dyDescent="0.35">
      <c r="A439" s="45" t="s">
        <v>115</v>
      </c>
      <c r="B439">
        <v>8136.62</v>
      </c>
      <c r="C439">
        <v>180.81379999999999</v>
      </c>
      <c r="D439">
        <v>45</v>
      </c>
    </row>
    <row r="440" spans="1:4" x14ac:dyDescent="0.35">
      <c r="A440" s="45" t="s">
        <v>116</v>
      </c>
      <c r="B440">
        <v>2741.31</v>
      </c>
      <c r="C440">
        <v>68.532799999999995</v>
      </c>
      <c r="D440">
        <v>40</v>
      </c>
    </row>
    <row r="441" spans="1:4" x14ac:dyDescent="0.35">
      <c r="A441" s="45" t="s">
        <v>117</v>
      </c>
      <c r="B441">
        <v>4682.7299999999996</v>
      </c>
      <c r="C441">
        <v>120.07</v>
      </c>
      <c r="D441">
        <v>39</v>
      </c>
    </row>
    <row r="442" spans="1:4" x14ac:dyDescent="0.35">
      <c r="A442" s="45" t="s">
        <v>104</v>
      </c>
      <c r="B442">
        <v>3918.2</v>
      </c>
      <c r="C442">
        <v>97.954999999999998</v>
      </c>
      <c r="D442">
        <v>40</v>
      </c>
    </row>
    <row r="443" spans="1:4" x14ac:dyDescent="0.35">
      <c r="A443" s="45" t="s">
        <v>102</v>
      </c>
      <c r="B443">
        <v>4182.71</v>
      </c>
      <c r="C443">
        <v>92.949100000000001</v>
      </c>
      <c r="D443">
        <v>45</v>
      </c>
    </row>
    <row r="444" spans="1:4" x14ac:dyDescent="0.35">
      <c r="A444" s="45" t="s">
        <v>118</v>
      </c>
      <c r="B444">
        <v>6654.44</v>
      </c>
      <c r="C444">
        <v>179.84970000000001</v>
      </c>
      <c r="D444">
        <v>37</v>
      </c>
    </row>
    <row r="445" spans="1:4" x14ac:dyDescent="0.35">
      <c r="A445" s="45" t="s">
        <v>100</v>
      </c>
      <c r="B445">
        <v>3671.27</v>
      </c>
      <c r="C445">
        <v>78.112099999999998</v>
      </c>
      <c r="D445">
        <v>47</v>
      </c>
    </row>
    <row r="446" spans="1:4" x14ac:dyDescent="0.35">
      <c r="A446" s="45" t="s">
        <v>119</v>
      </c>
      <c r="B446">
        <v>9754.6</v>
      </c>
      <c r="C446">
        <v>191.26669999999999</v>
      </c>
      <c r="D446">
        <v>51</v>
      </c>
    </row>
    <row r="447" spans="1:4" x14ac:dyDescent="0.35">
      <c r="A447" s="45" t="s">
        <v>108</v>
      </c>
      <c r="B447">
        <v>5358.01</v>
      </c>
      <c r="C447">
        <v>124.6049</v>
      </c>
      <c r="D447">
        <v>43</v>
      </c>
    </row>
    <row r="448" spans="1:4" x14ac:dyDescent="0.35">
      <c r="A448" s="1" t="s">
        <v>31</v>
      </c>
      <c r="B448">
        <v>112438.65</v>
      </c>
      <c r="C448">
        <v>2133.6892999999995</v>
      </c>
      <c r="D448">
        <v>911</v>
      </c>
    </row>
    <row r="449" spans="1:4" x14ac:dyDescent="0.35">
      <c r="A449" s="45" t="s">
        <v>89</v>
      </c>
      <c r="B449">
        <v>5393.94</v>
      </c>
      <c r="C449">
        <v>119.8653</v>
      </c>
      <c r="D449">
        <v>45</v>
      </c>
    </row>
    <row r="450" spans="1:4" x14ac:dyDescent="0.35">
      <c r="A450" s="45" t="s">
        <v>106</v>
      </c>
      <c r="B450">
        <v>4208.01</v>
      </c>
      <c r="C450">
        <v>100.19070000000001</v>
      </c>
      <c r="D450">
        <v>42</v>
      </c>
    </row>
    <row r="451" spans="1:4" x14ac:dyDescent="0.35">
      <c r="A451" s="45" t="s">
        <v>97</v>
      </c>
      <c r="B451">
        <v>6038.76</v>
      </c>
      <c r="C451">
        <v>131.2774</v>
      </c>
      <c r="D451">
        <v>46</v>
      </c>
    </row>
    <row r="452" spans="1:4" x14ac:dyDescent="0.35">
      <c r="A452" s="45" t="s">
        <v>112</v>
      </c>
      <c r="B452">
        <v>3373.4</v>
      </c>
      <c r="C452">
        <v>84.334999999999994</v>
      </c>
      <c r="D452">
        <v>40</v>
      </c>
    </row>
    <row r="453" spans="1:4" x14ac:dyDescent="0.35">
      <c r="A453" s="45" t="s">
        <v>81</v>
      </c>
      <c r="B453">
        <v>20948.11</v>
      </c>
      <c r="C453">
        <v>161.13929999999999</v>
      </c>
      <c r="D453">
        <v>130</v>
      </c>
    </row>
    <row r="454" spans="1:4" x14ac:dyDescent="0.35">
      <c r="A454" s="45" t="s">
        <v>113</v>
      </c>
      <c r="B454">
        <v>8501.98</v>
      </c>
      <c r="C454">
        <v>202.4281</v>
      </c>
      <c r="D454">
        <v>42</v>
      </c>
    </row>
    <row r="455" spans="1:4" x14ac:dyDescent="0.35">
      <c r="A455" s="45" t="s">
        <v>93</v>
      </c>
      <c r="B455">
        <v>3329.9</v>
      </c>
      <c r="C455">
        <v>73.997799999999998</v>
      </c>
      <c r="D455">
        <v>45</v>
      </c>
    </row>
    <row r="456" spans="1:4" x14ac:dyDescent="0.35">
      <c r="A456" s="45" t="s">
        <v>114</v>
      </c>
      <c r="B456">
        <v>4370.93</v>
      </c>
      <c r="C456">
        <v>106.608</v>
      </c>
      <c r="D456">
        <v>41</v>
      </c>
    </row>
    <row r="457" spans="1:4" x14ac:dyDescent="0.35">
      <c r="A457" s="45" t="s">
        <v>85</v>
      </c>
      <c r="B457">
        <v>12368.39</v>
      </c>
      <c r="C457">
        <v>131.57859999999999</v>
      </c>
      <c r="D457">
        <v>94</v>
      </c>
    </row>
    <row r="458" spans="1:4" x14ac:dyDescent="0.35">
      <c r="A458" s="45" t="s">
        <v>115</v>
      </c>
      <c r="B458">
        <v>5032.21</v>
      </c>
      <c r="C458">
        <v>107.06829999999999</v>
      </c>
      <c r="D458">
        <v>47</v>
      </c>
    </row>
    <row r="459" spans="1:4" x14ac:dyDescent="0.35">
      <c r="A459" s="45" t="s">
        <v>116</v>
      </c>
      <c r="B459">
        <v>5008.51</v>
      </c>
      <c r="C459">
        <v>113.82980000000001</v>
      </c>
      <c r="D459">
        <v>44</v>
      </c>
    </row>
    <row r="460" spans="1:4" x14ac:dyDescent="0.35">
      <c r="A460" s="45" t="s">
        <v>117</v>
      </c>
      <c r="B460">
        <v>6056.95</v>
      </c>
      <c r="C460">
        <v>163.70140000000001</v>
      </c>
      <c r="D460">
        <v>37</v>
      </c>
    </row>
    <row r="461" spans="1:4" x14ac:dyDescent="0.35">
      <c r="A461" s="45" t="s">
        <v>104</v>
      </c>
      <c r="B461">
        <v>7739.94</v>
      </c>
      <c r="C461">
        <v>146.03659999999999</v>
      </c>
      <c r="D461">
        <v>53</v>
      </c>
    </row>
    <row r="462" spans="1:4" x14ac:dyDescent="0.35">
      <c r="A462" s="45" t="s">
        <v>102</v>
      </c>
      <c r="B462">
        <v>5455.36</v>
      </c>
      <c r="C462">
        <v>121.2302</v>
      </c>
      <c r="D462">
        <v>45</v>
      </c>
    </row>
    <row r="463" spans="1:4" x14ac:dyDescent="0.35">
      <c r="A463" s="45" t="s">
        <v>118</v>
      </c>
      <c r="B463">
        <v>4160.25</v>
      </c>
      <c r="C463">
        <v>112.4392</v>
      </c>
      <c r="D463">
        <v>37</v>
      </c>
    </row>
    <row r="464" spans="1:4" x14ac:dyDescent="0.35">
      <c r="A464" s="45" t="s">
        <v>100</v>
      </c>
      <c r="B464">
        <v>4753.53</v>
      </c>
      <c r="C464">
        <v>110.5472</v>
      </c>
      <c r="D464">
        <v>43</v>
      </c>
    </row>
    <row r="465" spans="1:4" x14ac:dyDescent="0.35">
      <c r="A465" s="45" t="s">
        <v>119</v>
      </c>
      <c r="B465">
        <v>3545.28</v>
      </c>
      <c r="C465">
        <v>98.48</v>
      </c>
      <c r="D465">
        <v>36</v>
      </c>
    </row>
    <row r="466" spans="1:4" x14ac:dyDescent="0.35">
      <c r="A466" s="45" t="s">
        <v>108</v>
      </c>
      <c r="B466">
        <v>2153.1999999999998</v>
      </c>
      <c r="C466">
        <v>48.936399999999999</v>
      </c>
      <c r="D466">
        <v>44</v>
      </c>
    </row>
    <row r="467" spans="1:4" x14ac:dyDescent="0.35">
      <c r="A467" s="1" t="s">
        <v>32</v>
      </c>
      <c r="B467">
        <v>130507.83</v>
      </c>
      <c r="C467">
        <v>2460.4458999999997</v>
      </c>
      <c r="D467">
        <v>959</v>
      </c>
    </row>
    <row r="468" spans="1:4" x14ac:dyDescent="0.35">
      <c r="A468" s="45" t="s">
        <v>89</v>
      </c>
      <c r="B468">
        <v>6810.61</v>
      </c>
      <c r="C468">
        <v>133.54140000000001</v>
      </c>
      <c r="D468">
        <v>51</v>
      </c>
    </row>
    <row r="469" spans="1:4" x14ac:dyDescent="0.35">
      <c r="A469" s="45" t="s">
        <v>106</v>
      </c>
      <c r="B469">
        <v>5739.29</v>
      </c>
      <c r="C469">
        <v>119.5685</v>
      </c>
      <c r="D469">
        <v>48</v>
      </c>
    </row>
    <row r="470" spans="1:4" x14ac:dyDescent="0.35">
      <c r="A470" s="45" t="s">
        <v>97</v>
      </c>
      <c r="B470">
        <v>8621.5400000000009</v>
      </c>
      <c r="C470">
        <v>165.7988</v>
      </c>
      <c r="D470">
        <v>52</v>
      </c>
    </row>
    <row r="471" spans="1:4" x14ac:dyDescent="0.35">
      <c r="A471" s="45" t="s">
        <v>112</v>
      </c>
      <c r="B471">
        <v>2502.89</v>
      </c>
      <c r="C471">
        <v>80.738399999999999</v>
      </c>
      <c r="D471">
        <v>31</v>
      </c>
    </row>
    <row r="472" spans="1:4" x14ac:dyDescent="0.35">
      <c r="A472" s="45" t="s">
        <v>81</v>
      </c>
      <c r="B472">
        <v>16504.72</v>
      </c>
      <c r="C472">
        <v>125.9902</v>
      </c>
      <c r="D472">
        <v>131</v>
      </c>
    </row>
    <row r="473" spans="1:4" x14ac:dyDescent="0.35">
      <c r="A473" s="45" t="s">
        <v>113</v>
      </c>
      <c r="B473">
        <v>5961.96</v>
      </c>
      <c r="C473">
        <v>192.32130000000001</v>
      </c>
      <c r="D473">
        <v>31</v>
      </c>
    </row>
    <row r="474" spans="1:4" x14ac:dyDescent="0.35">
      <c r="A474" s="45" t="s">
        <v>93</v>
      </c>
      <c r="B474">
        <v>3785.88</v>
      </c>
      <c r="C474">
        <v>74.232900000000001</v>
      </c>
      <c r="D474">
        <v>51</v>
      </c>
    </row>
    <row r="475" spans="1:4" x14ac:dyDescent="0.35">
      <c r="A475" s="45" t="s">
        <v>114</v>
      </c>
      <c r="B475">
        <v>4480.41</v>
      </c>
      <c r="C475">
        <v>121.09220000000001</v>
      </c>
      <c r="D475">
        <v>37</v>
      </c>
    </row>
    <row r="476" spans="1:4" x14ac:dyDescent="0.35">
      <c r="A476" s="45" t="s">
        <v>85</v>
      </c>
      <c r="B476">
        <v>8531.4500000000007</v>
      </c>
      <c r="C476">
        <v>91.736000000000004</v>
      </c>
      <c r="D476">
        <v>93</v>
      </c>
    </row>
    <row r="477" spans="1:4" x14ac:dyDescent="0.35">
      <c r="A477" s="45" t="s">
        <v>115</v>
      </c>
      <c r="B477">
        <v>18203.349999999999</v>
      </c>
      <c r="C477">
        <v>319.35700000000003</v>
      </c>
      <c r="D477">
        <v>57</v>
      </c>
    </row>
    <row r="478" spans="1:4" x14ac:dyDescent="0.35">
      <c r="A478" s="45" t="s">
        <v>116</v>
      </c>
      <c r="B478">
        <v>3646.14</v>
      </c>
      <c r="C478">
        <v>91.153499999999994</v>
      </c>
      <c r="D478">
        <v>40</v>
      </c>
    </row>
    <row r="479" spans="1:4" x14ac:dyDescent="0.35">
      <c r="A479" s="45" t="s">
        <v>117</v>
      </c>
      <c r="B479">
        <v>5610.06</v>
      </c>
      <c r="C479">
        <v>124.66800000000001</v>
      </c>
      <c r="D479">
        <v>45</v>
      </c>
    </row>
    <row r="480" spans="1:4" x14ac:dyDescent="0.35">
      <c r="A480" s="45" t="s">
        <v>104</v>
      </c>
      <c r="B480">
        <v>4274.18</v>
      </c>
      <c r="C480">
        <v>85.483599999999996</v>
      </c>
      <c r="D480">
        <v>50</v>
      </c>
    </row>
    <row r="481" spans="1:4" x14ac:dyDescent="0.35">
      <c r="A481" s="45" t="s">
        <v>102</v>
      </c>
      <c r="B481">
        <v>7872.79</v>
      </c>
      <c r="C481">
        <v>160.66919999999999</v>
      </c>
      <c r="D481">
        <v>49</v>
      </c>
    </row>
    <row r="482" spans="1:4" x14ac:dyDescent="0.35">
      <c r="A482" s="45" t="s">
        <v>118</v>
      </c>
      <c r="B482">
        <v>5276.87</v>
      </c>
      <c r="C482">
        <v>114.7146</v>
      </c>
      <c r="D482">
        <v>46</v>
      </c>
    </row>
    <row r="483" spans="1:4" x14ac:dyDescent="0.35">
      <c r="A483" s="45" t="s">
        <v>100</v>
      </c>
      <c r="B483">
        <v>9342.7000000000007</v>
      </c>
      <c r="C483">
        <v>186.85400000000001</v>
      </c>
      <c r="D483">
        <v>50</v>
      </c>
    </row>
    <row r="484" spans="1:4" x14ac:dyDescent="0.35">
      <c r="A484" s="45" t="s">
        <v>119</v>
      </c>
      <c r="B484">
        <v>5113.83</v>
      </c>
      <c r="C484">
        <v>111.17019999999999</v>
      </c>
      <c r="D484">
        <v>46</v>
      </c>
    </row>
    <row r="485" spans="1:4" x14ac:dyDescent="0.35">
      <c r="A485" s="45" t="s">
        <v>108</v>
      </c>
      <c r="B485">
        <v>8229.16</v>
      </c>
      <c r="C485">
        <v>161.3561</v>
      </c>
      <c r="D485">
        <v>51</v>
      </c>
    </row>
    <row r="486" spans="1:4" x14ac:dyDescent="0.35">
      <c r="A486" s="1" t="s">
        <v>33</v>
      </c>
      <c r="B486">
        <v>104570.81000000001</v>
      </c>
      <c r="C486">
        <v>2509.5612999999998</v>
      </c>
      <c r="D486">
        <v>764</v>
      </c>
    </row>
    <row r="487" spans="1:4" x14ac:dyDescent="0.35">
      <c r="A487" s="45" t="s">
        <v>89</v>
      </c>
      <c r="B487">
        <v>3850.01</v>
      </c>
      <c r="C487">
        <v>104.0543</v>
      </c>
      <c r="D487">
        <v>37</v>
      </c>
    </row>
    <row r="488" spans="1:4" x14ac:dyDescent="0.35">
      <c r="A488" s="45" t="s">
        <v>106</v>
      </c>
      <c r="B488">
        <v>5449.75</v>
      </c>
      <c r="C488">
        <v>143.4145</v>
      </c>
      <c r="D488">
        <v>38</v>
      </c>
    </row>
    <row r="489" spans="1:4" x14ac:dyDescent="0.35">
      <c r="A489" s="45" t="s">
        <v>97</v>
      </c>
      <c r="B489">
        <v>5070.2</v>
      </c>
      <c r="C489">
        <v>110.2217</v>
      </c>
      <c r="D489">
        <v>46</v>
      </c>
    </row>
    <row r="490" spans="1:4" x14ac:dyDescent="0.35">
      <c r="A490" s="45" t="s">
        <v>112</v>
      </c>
      <c r="B490">
        <v>7318.09</v>
      </c>
      <c r="C490">
        <v>162.6242</v>
      </c>
      <c r="D490">
        <v>45</v>
      </c>
    </row>
    <row r="491" spans="1:4" x14ac:dyDescent="0.35">
      <c r="A491" s="45" t="s">
        <v>81</v>
      </c>
      <c r="B491">
        <v>12727.96</v>
      </c>
      <c r="C491">
        <v>131.21610000000001</v>
      </c>
      <c r="D491">
        <v>97</v>
      </c>
    </row>
    <row r="492" spans="1:4" x14ac:dyDescent="0.35">
      <c r="A492" s="45" t="s">
        <v>113</v>
      </c>
      <c r="B492">
        <v>3075.55</v>
      </c>
      <c r="C492">
        <v>123.02200000000001</v>
      </c>
      <c r="D492">
        <v>25</v>
      </c>
    </row>
    <row r="493" spans="1:4" x14ac:dyDescent="0.35">
      <c r="A493" s="45" t="s">
        <v>93</v>
      </c>
      <c r="B493">
        <v>9388.94</v>
      </c>
      <c r="C493">
        <v>276.14530000000002</v>
      </c>
      <c r="D493">
        <v>34</v>
      </c>
    </row>
    <row r="494" spans="1:4" x14ac:dyDescent="0.35">
      <c r="A494" s="45" t="s">
        <v>114</v>
      </c>
      <c r="B494">
        <v>5095.6400000000003</v>
      </c>
      <c r="C494">
        <v>137.72</v>
      </c>
      <c r="D494">
        <v>37</v>
      </c>
    </row>
    <row r="495" spans="1:4" x14ac:dyDescent="0.35">
      <c r="A495" s="45" t="s">
        <v>85</v>
      </c>
      <c r="B495">
        <v>11240.07</v>
      </c>
      <c r="C495">
        <v>144.1035</v>
      </c>
      <c r="D495">
        <v>78</v>
      </c>
    </row>
    <row r="496" spans="1:4" x14ac:dyDescent="0.35">
      <c r="A496" s="45" t="s">
        <v>115</v>
      </c>
      <c r="B496">
        <v>2583.6</v>
      </c>
      <c r="C496">
        <v>63.014600000000002</v>
      </c>
      <c r="D496">
        <v>41</v>
      </c>
    </row>
    <row r="497" spans="1:4" x14ac:dyDescent="0.35">
      <c r="A497" s="45" t="s">
        <v>116</v>
      </c>
      <c r="B497">
        <v>4156.1099999999997</v>
      </c>
      <c r="C497">
        <v>106.5669</v>
      </c>
      <c r="D497">
        <v>39</v>
      </c>
    </row>
    <row r="498" spans="1:4" x14ac:dyDescent="0.35">
      <c r="A498" s="45" t="s">
        <v>117</v>
      </c>
      <c r="B498">
        <v>6694.34</v>
      </c>
      <c r="C498">
        <v>171.6497</v>
      </c>
      <c r="D498">
        <v>39</v>
      </c>
    </row>
    <row r="499" spans="1:4" x14ac:dyDescent="0.35">
      <c r="A499" s="45" t="s">
        <v>104</v>
      </c>
      <c r="B499">
        <v>6071.43</v>
      </c>
      <c r="C499">
        <v>155.67769999999999</v>
      </c>
      <c r="D499">
        <v>39</v>
      </c>
    </row>
    <row r="500" spans="1:4" x14ac:dyDescent="0.35">
      <c r="A500" s="45" t="s">
        <v>102</v>
      </c>
      <c r="B500">
        <v>4651.4399999999996</v>
      </c>
      <c r="C500">
        <v>136.80709999999999</v>
      </c>
      <c r="D500">
        <v>34</v>
      </c>
    </row>
    <row r="501" spans="1:4" x14ac:dyDescent="0.35">
      <c r="A501" s="45" t="s">
        <v>118</v>
      </c>
      <c r="B501">
        <v>3005.49</v>
      </c>
      <c r="C501">
        <v>81.229500000000002</v>
      </c>
      <c r="D501">
        <v>37</v>
      </c>
    </row>
    <row r="502" spans="1:4" x14ac:dyDescent="0.35">
      <c r="A502" s="45" t="s">
        <v>100</v>
      </c>
      <c r="B502">
        <v>6960.67</v>
      </c>
      <c r="C502">
        <v>257.80259999999998</v>
      </c>
      <c r="D502">
        <v>27</v>
      </c>
    </row>
    <row r="503" spans="1:4" x14ac:dyDescent="0.35">
      <c r="A503" s="45" t="s">
        <v>119</v>
      </c>
      <c r="B503">
        <v>4304.22</v>
      </c>
      <c r="C503">
        <v>122.9777</v>
      </c>
      <c r="D503">
        <v>35</v>
      </c>
    </row>
    <row r="504" spans="1:4" x14ac:dyDescent="0.35">
      <c r="A504" s="45" t="s">
        <v>108</v>
      </c>
      <c r="B504">
        <v>2927.3</v>
      </c>
      <c r="C504">
        <v>81.313900000000004</v>
      </c>
      <c r="D504">
        <v>36</v>
      </c>
    </row>
    <row r="505" spans="1:4" x14ac:dyDescent="0.35">
      <c r="A505" s="1" t="s">
        <v>34</v>
      </c>
      <c r="B505">
        <v>133808.19999999998</v>
      </c>
      <c r="C505">
        <v>2453.4919999999997</v>
      </c>
      <c r="D505">
        <v>989</v>
      </c>
    </row>
    <row r="506" spans="1:4" x14ac:dyDescent="0.35">
      <c r="A506" s="45" t="s">
        <v>89</v>
      </c>
      <c r="B506">
        <v>10526.7</v>
      </c>
      <c r="C506">
        <v>187.9768</v>
      </c>
      <c r="D506">
        <v>56</v>
      </c>
    </row>
    <row r="507" spans="1:4" x14ac:dyDescent="0.35">
      <c r="A507" s="45" t="s">
        <v>106</v>
      </c>
      <c r="B507">
        <v>5318.63</v>
      </c>
      <c r="C507">
        <v>104.2869</v>
      </c>
      <c r="D507">
        <v>51</v>
      </c>
    </row>
    <row r="508" spans="1:4" x14ac:dyDescent="0.35">
      <c r="A508" s="45" t="s">
        <v>97</v>
      </c>
      <c r="B508">
        <v>9552.39</v>
      </c>
      <c r="C508">
        <v>164.69640000000001</v>
      </c>
      <c r="D508">
        <v>58</v>
      </c>
    </row>
    <row r="509" spans="1:4" x14ac:dyDescent="0.35">
      <c r="A509" s="45" t="s">
        <v>112</v>
      </c>
      <c r="B509">
        <v>5063.0600000000004</v>
      </c>
      <c r="C509">
        <v>99.275700000000001</v>
      </c>
      <c r="D509">
        <v>51</v>
      </c>
    </row>
    <row r="510" spans="1:4" x14ac:dyDescent="0.35">
      <c r="A510" s="45" t="s">
        <v>81</v>
      </c>
      <c r="B510">
        <v>16103.14</v>
      </c>
      <c r="C510">
        <v>125.8058</v>
      </c>
      <c r="D510">
        <v>128</v>
      </c>
    </row>
    <row r="511" spans="1:4" x14ac:dyDescent="0.35">
      <c r="A511" s="45" t="s">
        <v>113</v>
      </c>
      <c r="B511">
        <v>6668.73</v>
      </c>
      <c r="C511">
        <v>148.19399999999999</v>
      </c>
      <c r="D511">
        <v>45</v>
      </c>
    </row>
    <row r="512" spans="1:4" x14ac:dyDescent="0.35">
      <c r="A512" s="45" t="s">
        <v>93</v>
      </c>
      <c r="B512">
        <v>4609.6099999999997</v>
      </c>
      <c r="C512">
        <v>102.4358</v>
      </c>
      <c r="D512">
        <v>45</v>
      </c>
    </row>
    <row r="513" spans="1:4" x14ac:dyDescent="0.35">
      <c r="A513" s="45" t="s">
        <v>114</v>
      </c>
      <c r="B513">
        <v>5565.8</v>
      </c>
      <c r="C513">
        <v>107.0346</v>
      </c>
      <c r="D513">
        <v>52</v>
      </c>
    </row>
    <row r="514" spans="1:4" x14ac:dyDescent="0.35">
      <c r="A514" s="45" t="s">
        <v>85</v>
      </c>
      <c r="B514">
        <v>12436.19</v>
      </c>
      <c r="C514">
        <v>136.66139999999999</v>
      </c>
      <c r="D514">
        <v>91</v>
      </c>
    </row>
    <row r="515" spans="1:4" x14ac:dyDescent="0.35">
      <c r="A515" s="45" t="s">
        <v>115</v>
      </c>
      <c r="B515">
        <v>9342.52</v>
      </c>
      <c r="C515">
        <v>190.66370000000001</v>
      </c>
      <c r="D515">
        <v>49</v>
      </c>
    </row>
    <row r="516" spans="1:4" x14ac:dyDescent="0.35">
      <c r="A516" s="45" t="s">
        <v>116</v>
      </c>
      <c r="B516">
        <v>7941.94</v>
      </c>
      <c r="C516">
        <v>180.49860000000001</v>
      </c>
      <c r="D516">
        <v>44</v>
      </c>
    </row>
    <row r="517" spans="1:4" x14ac:dyDescent="0.35">
      <c r="A517" s="45" t="s">
        <v>117</v>
      </c>
      <c r="B517">
        <v>5110.29</v>
      </c>
      <c r="C517">
        <v>102.2058</v>
      </c>
      <c r="D517">
        <v>50</v>
      </c>
    </row>
    <row r="518" spans="1:4" x14ac:dyDescent="0.35">
      <c r="A518" s="45" t="s">
        <v>104</v>
      </c>
      <c r="B518">
        <v>7822.04</v>
      </c>
      <c r="C518">
        <v>181.90790000000001</v>
      </c>
      <c r="D518">
        <v>43</v>
      </c>
    </row>
    <row r="519" spans="1:4" x14ac:dyDescent="0.35">
      <c r="A519" s="45" t="s">
        <v>102</v>
      </c>
      <c r="B519">
        <v>4115.55</v>
      </c>
      <c r="C519">
        <v>79.145200000000003</v>
      </c>
      <c r="D519">
        <v>52</v>
      </c>
    </row>
    <row r="520" spans="1:4" x14ac:dyDescent="0.35">
      <c r="A520" s="45" t="s">
        <v>118</v>
      </c>
      <c r="B520">
        <v>5938.36</v>
      </c>
      <c r="C520">
        <v>164.95439999999999</v>
      </c>
      <c r="D520">
        <v>36</v>
      </c>
    </row>
    <row r="521" spans="1:4" x14ac:dyDescent="0.35">
      <c r="A521" s="45" t="s">
        <v>100</v>
      </c>
      <c r="B521">
        <v>8410.56</v>
      </c>
      <c r="C521">
        <v>145.00970000000001</v>
      </c>
      <c r="D521">
        <v>58</v>
      </c>
    </row>
    <row r="522" spans="1:4" x14ac:dyDescent="0.35">
      <c r="A522" s="45" t="s">
        <v>119</v>
      </c>
      <c r="B522">
        <v>5062.57</v>
      </c>
      <c r="C522">
        <v>129.80950000000001</v>
      </c>
      <c r="D522">
        <v>39</v>
      </c>
    </row>
    <row r="523" spans="1:4" x14ac:dyDescent="0.35">
      <c r="A523" s="45" t="s">
        <v>108</v>
      </c>
      <c r="B523">
        <v>4220.12</v>
      </c>
      <c r="C523">
        <v>102.9298</v>
      </c>
      <c r="D523">
        <v>41</v>
      </c>
    </row>
    <row r="524" spans="1:4" x14ac:dyDescent="0.35">
      <c r="A524" s="1" t="s">
        <v>35</v>
      </c>
      <c r="B524">
        <v>124228.42999999996</v>
      </c>
      <c r="C524">
        <v>2800.4894999999997</v>
      </c>
      <c r="D524">
        <v>819</v>
      </c>
    </row>
    <row r="525" spans="1:4" x14ac:dyDescent="0.35">
      <c r="A525" s="45" t="s">
        <v>89</v>
      </c>
      <c r="B525">
        <v>5535.79</v>
      </c>
      <c r="C525">
        <v>115.32899999999999</v>
      </c>
      <c r="D525">
        <v>48</v>
      </c>
    </row>
    <row r="526" spans="1:4" x14ac:dyDescent="0.35">
      <c r="A526" s="45" t="s">
        <v>106</v>
      </c>
      <c r="B526">
        <v>3370.33</v>
      </c>
      <c r="C526">
        <v>112.3443</v>
      </c>
      <c r="D526">
        <v>30</v>
      </c>
    </row>
    <row r="527" spans="1:4" x14ac:dyDescent="0.35">
      <c r="A527" s="45" t="s">
        <v>97</v>
      </c>
      <c r="B527">
        <v>7950.3</v>
      </c>
      <c r="C527">
        <v>227.1514</v>
      </c>
      <c r="D527">
        <v>35</v>
      </c>
    </row>
    <row r="528" spans="1:4" x14ac:dyDescent="0.35">
      <c r="A528" s="45" t="s">
        <v>112</v>
      </c>
      <c r="B528">
        <v>5663.92</v>
      </c>
      <c r="C528">
        <v>115.5902</v>
      </c>
      <c r="D528">
        <v>49</v>
      </c>
    </row>
    <row r="529" spans="1:4" x14ac:dyDescent="0.35">
      <c r="A529" s="45" t="s">
        <v>81</v>
      </c>
      <c r="B529">
        <v>12367.16</v>
      </c>
      <c r="C529">
        <v>110.4211</v>
      </c>
      <c r="D529">
        <v>112</v>
      </c>
    </row>
    <row r="530" spans="1:4" x14ac:dyDescent="0.35">
      <c r="A530" s="45" t="s">
        <v>113</v>
      </c>
      <c r="B530">
        <v>10712.09</v>
      </c>
      <c r="C530">
        <v>289.51589999999999</v>
      </c>
      <c r="D530">
        <v>37</v>
      </c>
    </row>
    <row r="531" spans="1:4" x14ac:dyDescent="0.35">
      <c r="A531" s="45" t="s">
        <v>93</v>
      </c>
      <c r="B531">
        <v>4159.6400000000003</v>
      </c>
      <c r="C531">
        <v>103.991</v>
      </c>
      <c r="D531">
        <v>40</v>
      </c>
    </row>
    <row r="532" spans="1:4" x14ac:dyDescent="0.35">
      <c r="A532" s="45" t="s">
        <v>114</v>
      </c>
      <c r="B532">
        <v>3522.4</v>
      </c>
      <c r="C532">
        <v>95.2</v>
      </c>
      <c r="D532">
        <v>37</v>
      </c>
    </row>
    <row r="533" spans="1:4" x14ac:dyDescent="0.35">
      <c r="A533" s="45" t="s">
        <v>85</v>
      </c>
      <c r="B533">
        <v>16209.8</v>
      </c>
      <c r="C533">
        <v>202.6225</v>
      </c>
      <c r="D533">
        <v>80</v>
      </c>
    </row>
    <row r="534" spans="1:4" x14ac:dyDescent="0.35">
      <c r="A534" s="45" t="s">
        <v>115</v>
      </c>
      <c r="B534">
        <v>10749.4</v>
      </c>
      <c r="C534">
        <v>268.73500000000001</v>
      </c>
      <c r="D534">
        <v>40</v>
      </c>
    </row>
    <row r="535" spans="1:4" x14ac:dyDescent="0.35">
      <c r="A535" s="45" t="s">
        <v>116</v>
      </c>
      <c r="B535">
        <v>4679.79</v>
      </c>
      <c r="C535">
        <v>116.9948</v>
      </c>
      <c r="D535">
        <v>40</v>
      </c>
    </row>
    <row r="536" spans="1:4" x14ac:dyDescent="0.35">
      <c r="A536" s="45" t="s">
        <v>117</v>
      </c>
      <c r="B536">
        <v>4860.1400000000003</v>
      </c>
      <c r="C536">
        <v>103.4072</v>
      </c>
      <c r="D536">
        <v>47</v>
      </c>
    </row>
    <row r="537" spans="1:4" x14ac:dyDescent="0.35">
      <c r="A537" s="45" t="s">
        <v>104</v>
      </c>
      <c r="B537">
        <v>5332.15</v>
      </c>
      <c r="C537">
        <v>152.34710000000001</v>
      </c>
      <c r="D537">
        <v>35</v>
      </c>
    </row>
    <row r="538" spans="1:4" x14ac:dyDescent="0.35">
      <c r="A538" s="45" t="s">
        <v>102</v>
      </c>
      <c r="B538">
        <v>6088.4</v>
      </c>
      <c r="C538">
        <v>132.35650000000001</v>
      </c>
      <c r="D538">
        <v>46</v>
      </c>
    </row>
    <row r="539" spans="1:4" x14ac:dyDescent="0.35">
      <c r="A539" s="45" t="s">
        <v>118</v>
      </c>
      <c r="B539">
        <v>3361.42</v>
      </c>
      <c r="C539">
        <v>96.040599999999998</v>
      </c>
      <c r="D539">
        <v>35</v>
      </c>
    </row>
    <row r="540" spans="1:4" x14ac:dyDescent="0.35">
      <c r="A540" s="45" t="s">
        <v>100</v>
      </c>
      <c r="B540">
        <v>8294.0300000000007</v>
      </c>
      <c r="C540">
        <v>259.1884</v>
      </c>
      <c r="D540">
        <v>32</v>
      </c>
    </row>
    <row r="541" spans="1:4" x14ac:dyDescent="0.35">
      <c r="A541" s="45" t="s">
        <v>119</v>
      </c>
      <c r="B541">
        <v>5273.3</v>
      </c>
      <c r="C541">
        <v>138.77109999999999</v>
      </c>
      <c r="D541">
        <v>38</v>
      </c>
    </row>
    <row r="542" spans="1:4" x14ac:dyDescent="0.35">
      <c r="A542" s="45" t="s">
        <v>108</v>
      </c>
      <c r="B542">
        <v>6098.37</v>
      </c>
      <c r="C542">
        <v>160.48339999999999</v>
      </c>
      <c r="D542">
        <v>38</v>
      </c>
    </row>
    <row r="543" spans="1:4" x14ac:dyDescent="0.35">
      <c r="A543" s="1" t="s">
        <v>36</v>
      </c>
      <c r="B543">
        <v>116437.33</v>
      </c>
      <c r="C543">
        <v>2459.7710000000002</v>
      </c>
      <c r="D543">
        <v>869</v>
      </c>
    </row>
    <row r="544" spans="1:4" x14ac:dyDescent="0.35">
      <c r="A544" s="45" t="s">
        <v>89</v>
      </c>
      <c r="B544">
        <v>5493.47</v>
      </c>
      <c r="C544">
        <v>152.59639999999999</v>
      </c>
      <c r="D544">
        <v>36</v>
      </c>
    </row>
    <row r="545" spans="1:4" x14ac:dyDescent="0.35">
      <c r="A545" s="45" t="s">
        <v>106</v>
      </c>
      <c r="B545">
        <v>7250.68</v>
      </c>
      <c r="C545">
        <v>172.6352</v>
      </c>
      <c r="D545">
        <v>42</v>
      </c>
    </row>
    <row r="546" spans="1:4" x14ac:dyDescent="0.35">
      <c r="A546" s="45" t="s">
        <v>97</v>
      </c>
      <c r="B546">
        <v>3687.82</v>
      </c>
      <c r="C546">
        <v>102.43940000000001</v>
      </c>
      <c r="D546">
        <v>36</v>
      </c>
    </row>
    <row r="547" spans="1:4" x14ac:dyDescent="0.35">
      <c r="A547" s="45" t="s">
        <v>112</v>
      </c>
      <c r="B547">
        <v>6653.45</v>
      </c>
      <c r="C547">
        <v>179.82300000000001</v>
      </c>
      <c r="D547">
        <v>37</v>
      </c>
    </row>
    <row r="548" spans="1:4" x14ac:dyDescent="0.35">
      <c r="A548" s="45" t="s">
        <v>81</v>
      </c>
      <c r="B548">
        <v>16137.61</v>
      </c>
      <c r="C548">
        <v>116.9392</v>
      </c>
      <c r="D548">
        <v>138</v>
      </c>
    </row>
    <row r="549" spans="1:4" x14ac:dyDescent="0.35">
      <c r="A549" s="45" t="s">
        <v>113</v>
      </c>
      <c r="B549">
        <v>3463.69</v>
      </c>
      <c r="C549">
        <v>86.592299999999994</v>
      </c>
      <c r="D549">
        <v>40</v>
      </c>
    </row>
    <row r="550" spans="1:4" x14ac:dyDescent="0.35">
      <c r="A550" s="45" t="s">
        <v>93</v>
      </c>
      <c r="B550">
        <v>4815.8999999999996</v>
      </c>
      <c r="C550">
        <v>94.429400000000001</v>
      </c>
      <c r="D550">
        <v>51</v>
      </c>
    </row>
    <row r="551" spans="1:4" x14ac:dyDescent="0.35">
      <c r="A551" s="45" t="s">
        <v>114</v>
      </c>
      <c r="B551">
        <v>10388.85</v>
      </c>
      <c r="C551">
        <v>253.38659999999999</v>
      </c>
      <c r="D551">
        <v>41</v>
      </c>
    </row>
    <row r="552" spans="1:4" x14ac:dyDescent="0.35">
      <c r="A552" s="45" t="s">
        <v>85</v>
      </c>
      <c r="B552">
        <v>10265.68</v>
      </c>
      <c r="C552">
        <v>142.5789</v>
      </c>
      <c r="D552">
        <v>72</v>
      </c>
    </row>
    <row r="553" spans="1:4" x14ac:dyDescent="0.35">
      <c r="A553" s="45" t="s">
        <v>115</v>
      </c>
      <c r="B553">
        <v>6976.33</v>
      </c>
      <c r="C553">
        <v>142.3741</v>
      </c>
      <c r="D553">
        <v>49</v>
      </c>
    </row>
    <row r="554" spans="1:4" x14ac:dyDescent="0.35">
      <c r="A554" s="45" t="s">
        <v>116</v>
      </c>
      <c r="B554">
        <v>6070.76</v>
      </c>
      <c r="C554">
        <v>144.5419</v>
      </c>
      <c r="D554">
        <v>42</v>
      </c>
    </row>
    <row r="555" spans="1:4" x14ac:dyDescent="0.35">
      <c r="A555" s="45" t="s">
        <v>117</v>
      </c>
      <c r="B555">
        <v>3401.94</v>
      </c>
      <c r="C555">
        <v>85.048500000000004</v>
      </c>
      <c r="D555">
        <v>40</v>
      </c>
    </row>
    <row r="556" spans="1:4" x14ac:dyDescent="0.35">
      <c r="A556" s="45" t="s">
        <v>104</v>
      </c>
      <c r="B556">
        <v>7091.41</v>
      </c>
      <c r="C556">
        <v>157.58690000000001</v>
      </c>
      <c r="D556">
        <v>45</v>
      </c>
    </row>
    <row r="557" spans="1:4" x14ac:dyDescent="0.35">
      <c r="A557" s="45" t="s">
        <v>102</v>
      </c>
      <c r="B557">
        <v>3490.1</v>
      </c>
      <c r="C557">
        <v>72.710400000000007</v>
      </c>
      <c r="D557">
        <v>48</v>
      </c>
    </row>
    <row r="558" spans="1:4" x14ac:dyDescent="0.35">
      <c r="A558" s="45" t="s">
        <v>118</v>
      </c>
      <c r="B558">
        <v>4261.38</v>
      </c>
      <c r="C558">
        <v>109.2662</v>
      </c>
      <c r="D558">
        <v>39</v>
      </c>
    </row>
    <row r="559" spans="1:4" x14ac:dyDescent="0.35">
      <c r="A559" s="45" t="s">
        <v>100</v>
      </c>
      <c r="B559">
        <v>3488.73</v>
      </c>
      <c r="C559">
        <v>94.29</v>
      </c>
      <c r="D559">
        <v>37</v>
      </c>
    </row>
    <row r="560" spans="1:4" x14ac:dyDescent="0.35">
      <c r="A560" s="45" t="s">
        <v>119</v>
      </c>
      <c r="B560">
        <v>4610.9399999999996</v>
      </c>
      <c r="C560">
        <v>124.62</v>
      </c>
      <c r="D560">
        <v>37</v>
      </c>
    </row>
    <row r="561" spans="1:4" x14ac:dyDescent="0.35">
      <c r="A561" s="45" t="s">
        <v>108</v>
      </c>
      <c r="B561">
        <v>8888.59</v>
      </c>
      <c r="C561">
        <v>227.9126</v>
      </c>
      <c r="D561">
        <v>39</v>
      </c>
    </row>
    <row r="562" spans="1:4" x14ac:dyDescent="0.35">
      <c r="A562" s="1" t="s">
        <v>37</v>
      </c>
      <c r="B562">
        <v>131379.20999999996</v>
      </c>
      <c r="C562">
        <v>2576.2766999999994</v>
      </c>
      <c r="D562">
        <v>914</v>
      </c>
    </row>
    <row r="563" spans="1:4" x14ac:dyDescent="0.35">
      <c r="A563" s="45" t="s">
        <v>89</v>
      </c>
      <c r="B563">
        <v>7591.51</v>
      </c>
      <c r="C563">
        <v>140.58349999999999</v>
      </c>
      <c r="D563">
        <v>54</v>
      </c>
    </row>
    <row r="564" spans="1:4" x14ac:dyDescent="0.35">
      <c r="A564" s="45" t="s">
        <v>106</v>
      </c>
      <c r="B564">
        <v>7094.03</v>
      </c>
      <c r="C564">
        <v>141.88059999999999</v>
      </c>
      <c r="D564">
        <v>50</v>
      </c>
    </row>
    <row r="565" spans="1:4" x14ac:dyDescent="0.35">
      <c r="A565" s="45" t="s">
        <v>97</v>
      </c>
      <c r="B565">
        <v>4476.3</v>
      </c>
      <c r="C565">
        <v>114.7769</v>
      </c>
      <c r="D565">
        <v>39</v>
      </c>
    </row>
    <row r="566" spans="1:4" x14ac:dyDescent="0.35">
      <c r="A566" s="45" t="s">
        <v>112</v>
      </c>
      <c r="B566">
        <v>9269.57</v>
      </c>
      <c r="C566">
        <v>205.99039999999999</v>
      </c>
      <c r="D566">
        <v>45</v>
      </c>
    </row>
    <row r="567" spans="1:4" x14ac:dyDescent="0.35">
      <c r="A567" s="45" t="s">
        <v>81</v>
      </c>
      <c r="B567">
        <v>15387.91</v>
      </c>
      <c r="C567">
        <v>132.65440000000001</v>
      </c>
      <c r="D567">
        <v>116</v>
      </c>
    </row>
    <row r="568" spans="1:4" x14ac:dyDescent="0.35">
      <c r="A568" s="45" t="s">
        <v>113</v>
      </c>
      <c r="B568">
        <v>5357.02</v>
      </c>
      <c r="C568">
        <v>137.3595</v>
      </c>
      <c r="D568">
        <v>39</v>
      </c>
    </row>
    <row r="569" spans="1:4" x14ac:dyDescent="0.35">
      <c r="A569" s="45" t="s">
        <v>93</v>
      </c>
      <c r="B569">
        <v>6715.59</v>
      </c>
      <c r="C569">
        <v>137.05289999999999</v>
      </c>
      <c r="D569">
        <v>49</v>
      </c>
    </row>
    <row r="570" spans="1:4" x14ac:dyDescent="0.35">
      <c r="A570" s="45" t="s">
        <v>114</v>
      </c>
      <c r="B570">
        <v>8077.84</v>
      </c>
      <c r="C570">
        <v>164.85390000000001</v>
      </c>
      <c r="D570">
        <v>49</v>
      </c>
    </row>
    <row r="571" spans="1:4" x14ac:dyDescent="0.35">
      <c r="A571" s="45" t="s">
        <v>85</v>
      </c>
      <c r="B571">
        <v>13576.25</v>
      </c>
      <c r="C571">
        <v>156.0489</v>
      </c>
      <c r="D571">
        <v>87</v>
      </c>
    </row>
    <row r="572" spans="1:4" x14ac:dyDescent="0.35">
      <c r="A572" s="45" t="s">
        <v>115</v>
      </c>
      <c r="B572">
        <v>5501.43</v>
      </c>
      <c r="C572">
        <v>127.9402</v>
      </c>
      <c r="D572">
        <v>43</v>
      </c>
    </row>
    <row r="573" spans="1:4" x14ac:dyDescent="0.35">
      <c r="A573" s="45" t="s">
        <v>116</v>
      </c>
      <c r="B573">
        <v>2306.34</v>
      </c>
      <c r="C573">
        <v>59.136899999999997</v>
      </c>
      <c r="D573">
        <v>39</v>
      </c>
    </row>
    <row r="574" spans="1:4" x14ac:dyDescent="0.35">
      <c r="A574" s="45" t="s">
        <v>117</v>
      </c>
      <c r="B574">
        <v>8518.59</v>
      </c>
      <c r="C574">
        <v>224.17339999999999</v>
      </c>
      <c r="D574">
        <v>38</v>
      </c>
    </row>
    <row r="575" spans="1:4" x14ac:dyDescent="0.35">
      <c r="A575" s="45" t="s">
        <v>104</v>
      </c>
      <c r="B575">
        <v>5570.42</v>
      </c>
      <c r="C575">
        <v>129.54470000000001</v>
      </c>
      <c r="D575">
        <v>43</v>
      </c>
    </row>
    <row r="576" spans="1:4" x14ac:dyDescent="0.35">
      <c r="A576" s="45" t="s">
        <v>102</v>
      </c>
      <c r="B576">
        <v>9944.7800000000007</v>
      </c>
      <c r="C576">
        <v>194.9957</v>
      </c>
      <c r="D576">
        <v>51</v>
      </c>
    </row>
    <row r="577" spans="1:4" x14ac:dyDescent="0.35">
      <c r="A577" s="45" t="s">
        <v>118</v>
      </c>
      <c r="B577">
        <v>4815.6099999999997</v>
      </c>
      <c r="C577">
        <v>120.3903</v>
      </c>
      <c r="D577">
        <v>40</v>
      </c>
    </row>
    <row r="578" spans="1:4" x14ac:dyDescent="0.35">
      <c r="A578" s="45" t="s">
        <v>100</v>
      </c>
      <c r="B578">
        <v>5667.28</v>
      </c>
      <c r="C578">
        <v>138.22630000000001</v>
      </c>
      <c r="D578">
        <v>41</v>
      </c>
    </row>
    <row r="579" spans="1:4" x14ac:dyDescent="0.35">
      <c r="A579" s="45" t="s">
        <v>119</v>
      </c>
      <c r="B579">
        <v>6840.8</v>
      </c>
      <c r="C579">
        <v>136.816</v>
      </c>
      <c r="D579">
        <v>50</v>
      </c>
    </row>
    <row r="580" spans="1:4" x14ac:dyDescent="0.35">
      <c r="A580" s="45" t="s">
        <v>108</v>
      </c>
      <c r="B580">
        <v>4667.9399999999996</v>
      </c>
      <c r="C580">
        <v>113.8522</v>
      </c>
      <c r="D580">
        <v>41</v>
      </c>
    </row>
    <row r="581" spans="1:4" x14ac:dyDescent="0.35">
      <c r="A581" s="1" t="s">
        <v>38</v>
      </c>
      <c r="B581">
        <v>132936.24</v>
      </c>
      <c r="C581">
        <v>2445.8480999999997</v>
      </c>
      <c r="D581">
        <v>949</v>
      </c>
    </row>
    <row r="582" spans="1:4" x14ac:dyDescent="0.35">
      <c r="A582" s="45" t="s">
        <v>89</v>
      </c>
      <c r="B582">
        <v>6579.21</v>
      </c>
      <c r="C582">
        <v>139.98320000000001</v>
      </c>
      <c r="D582">
        <v>47</v>
      </c>
    </row>
    <row r="583" spans="1:4" x14ac:dyDescent="0.35">
      <c r="A583" s="45" t="s">
        <v>106</v>
      </c>
      <c r="B583">
        <v>5504.76</v>
      </c>
      <c r="C583">
        <v>166.8109</v>
      </c>
      <c r="D583">
        <v>33</v>
      </c>
    </row>
    <row r="584" spans="1:4" x14ac:dyDescent="0.35">
      <c r="A584" s="45" t="s">
        <v>97</v>
      </c>
      <c r="B584">
        <v>6733.22</v>
      </c>
      <c r="C584">
        <v>137.4127</v>
      </c>
      <c r="D584">
        <v>49</v>
      </c>
    </row>
    <row r="585" spans="1:4" x14ac:dyDescent="0.35">
      <c r="A585" s="45" t="s">
        <v>112</v>
      </c>
      <c r="B585">
        <v>4971.59</v>
      </c>
      <c r="C585">
        <v>88.778400000000005</v>
      </c>
      <c r="D585">
        <v>56</v>
      </c>
    </row>
    <row r="586" spans="1:4" x14ac:dyDescent="0.35">
      <c r="A586" s="45" t="s">
        <v>81</v>
      </c>
      <c r="B586">
        <v>21806.26</v>
      </c>
      <c r="C586">
        <v>163.95679999999999</v>
      </c>
      <c r="D586">
        <v>133</v>
      </c>
    </row>
    <row r="587" spans="1:4" x14ac:dyDescent="0.35">
      <c r="A587" s="45" t="s">
        <v>113</v>
      </c>
      <c r="B587">
        <v>9012.16</v>
      </c>
      <c r="C587">
        <v>176.709</v>
      </c>
      <c r="D587">
        <v>51</v>
      </c>
    </row>
    <row r="588" spans="1:4" x14ac:dyDescent="0.35">
      <c r="A588" s="45" t="s">
        <v>93</v>
      </c>
      <c r="B588">
        <v>6433.94</v>
      </c>
      <c r="C588">
        <v>112.87609999999999</v>
      </c>
      <c r="D588">
        <v>57</v>
      </c>
    </row>
    <row r="589" spans="1:4" x14ac:dyDescent="0.35">
      <c r="A589" s="45" t="s">
        <v>114</v>
      </c>
      <c r="B589">
        <v>7695.92</v>
      </c>
      <c r="C589">
        <v>178.97489999999999</v>
      </c>
      <c r="D589">
        <v>43</v>
      </c>
    </row>
    <row r="590" spans="1:4" x14ac:dyDescent="0.35">
      <c r="A590" s="45" t="s">
        <v>85</v>
      </c>
      <c r="B590">
        <v>17339.63</v>
      </c>
      <c r="C590">
        <v>176.935</v>
      </c>
      <c r="D590">
        <v>98</v>
      </c>
    </row>
    <row r="591" spans="1:4" x14ac:dyDescent="0.35">
      <c r="A591" s="45" t="s">
        <v>115</v>
      </c>
      <c r="B591">
        <v>2284.9499999999998</v>
      </c>
      <c r="C591">
        <v>61.755400000000002</v>
      </c>
      <c r="D591">
        <v>37</v>
      </c>
    </row>
    <row r="592" spans="1:4" x14ac:dyDescent="0.35">
      <c r="A592" s="45" t="s">
        <v>116</v>
      </c>
      <c r="B592">
        <v>4987.3</v>
      </c>
      <c r="C592">
        <v>121.64149999999999</v>
      </c>
      <c r="D592">
        <v>41</v>
      </c>
    </row>
    <row r="593" spans="1:4" x14ac:dyDescent="0.35">
      <c r="A593" s="45" t="s">
        <v>117</v>
      </c>
      <c r="B593">
        <v>5566.97</v>
      </c>
      <c r="C593">
        <v>154.63810000000001</v>
      </c>
      <c r="D593">
        <v>36</v>
      </c>
    </row>
    <row r="594" spans="1:4" x14ac:dyDescent="0.35">
      <c r="A594" s="45" t="s">
        <v>104</v>
      </c>
      <c r="B594">
        <v>5226.37</v>
      </c>
      <c r="C594">
        <v>96.784599999999998</v>
      </c>
      <c r="D594">
        <v>54</v>
      </c>
    </row>
    <row r="595" spans="1:4" x14ac:dyDescent="0.35">
      <c r="A595" s="45" t="s">
        <v>102</v>
      </c>
      <c r="B595">
        <v>4129.29</v>
      </c>
      <c r="C595">
        <v>111.6024</v>
      </c>
      <c r="D595">
        <v>37</v>
      </c>
    </row>
    <row r="596" spans="1:4" x14ac:dyDescent="0.35">
      <c r="A596" s="45" t="s">
        <v>118</v>
      </c>
      <c r="B596">
        <v>9006.26</v>
      </c>
      <c r="C596">
        <v>200.13910000000001</v>
      </c>
      <c r="D596">
        <v>45</v>
      </c>
    </row>
    <row r="597" spans="1:4" x14ac:dyDescent="0.35">
      <c r="A597" s="45" t="s">
        <v>100</v>
      </c>
      <c r="B597">
        <v>5903.16</v>
      </c>
      <c r="C597">
        <v>134.1627</v>
      </c>
      <c r="D597">
        <v>44</v>
      </c>
    </row>
    <row r="598" spans="1:4" x14ac:dyDescent="0.35">
      <c r="A598" s="45" t="s">
        <v>119</v>
      </c>
      <c r="B598">
        <v>5127.83</v>
      </c>
      <c r="C598">
        <v>122.0912</v>
      </c>
      <c r="D598">
        <v>42</v>
      </c>
    </row>
    <row r="599" spans="1:4" x14ac:dyDescent="0.35">
      <c r="A599" s="45" t="s">
        <v>108</v>
      </c>
      <c r="B599">
        <v>4627.42</v>
      </c>
      <c r="C599">
        <v>100.59610000000001</v>
      </c>
      <c r="D599">
        <v>46</v>
      </c>
    </row>
    <row r="600" spans="1:4" x14ac:dyDescent="0.35">
      <c r="A600" s="1" t="s">
        <v>39</v>
      </c>
      <c r="B600">
        <v>139385.22</v>
      </c>
      <c r="C600">
        <v>2916.3033999999998</v>
      </c>
      <c r="D600">
        <v>873</v>
      </c>
    </row>
    <row r="601" spans="1:4" x14ac:dyDescent="0.35">
      <c r="A601" s="45" t="s">
        <v>89</v>
      </c>
      <c r="B601">
        <v>4490.8100000000004</v>
      </c>
      <c r="C601">
        <v>121.3732</v>
      </c>
      <c r="D601">
        <v>37</v>
      </c>
    </row>
    <row r="602" spans="1:4" x14ac:dyDescent="0.35">
      <c r="A602" s="45" t="s">
        <v>106</v>
      </c>
      <c r="B602">
        <v>7982.92</v>
      </c>
      <c r="C602">
        <v>215.75460000000001</v>
      </c>
      <c r="D602">
        <v>37</v>
      </c>
    </row>
    <row r="603" spans="1:4" x14ac:dyDescent="0.35">
      <c r="A603" s="45" t="s">
        <v>97</v>
      </c>
      <c r="B603">
        <v>9499.69</v>
      </c>
      <c r="C603">
        <v>249.99180000000001</v>
      </c>
      <c r="D603">
        <v>38</v>
      </c>
    </row>
    <row r="604" spans="1:4" x14ac:dyDescent="0.35">
      <c r="A604" s="45" t="s">
        <v>112</v>
      </c>
      <c r="B604">
        <v>10859.79</v>
      </c>
      <c r="C604">
        <v>264.87290000000002</v>
      </c>
      <c r="D604">
        <v>41</v>
      </c>
    </row>
    <row r="605" spans="1:4" x14ac:dyDescent="0.35">
      <c r="A605" s="45" t="s">
        <v>81</v>
      </c>
      <c r="B605">
        <v>21485.37</v>
      </c>
      <c r="C605">
        <v>162.768</v>
      </c>
      <c r="D605">
        <v>132</v>
      </c>
    </row>
    <row r="606" spans="1:4" x14ac:dyDescent="0.35">
      <c r="A606" s="45" t="s">
        <v>113</v>
      </c>
      <c r="B606">
        <v>4781.75</v>
      </c>
      <c r="C606">
        <v>119.5438</v>
      </c>
      <c r="D606">
        <v>40</v>
      </c>
    </row>
    <row r="607" spans="1:4" x14ac:dyDescent="0.35">
      <c r="A607" s="45" t="s">
        <v>93</v>
      </c>
      <c r="B607">
        <v>2840.5</v>
      </c>
      <c r="C607">
        <v>67.631</v>
      </c>
      <c r="D607">
        <v>42</v>
      </c>
    </row>
    <row r="608" spans="1:4" x14ac:dyDescent="0.35">
      <c r="A608" s="45" t="s">
        <v>114</v>
      </c>
      <c r="B608">
        <v>3141.6</v>
      </c>
      <c r="C608">
        <v>89.76</v>
      </c>
      <c r="D608">
        <v>35</v>
      </c>
    </row>
    <row r="609" spans="1:4" x14ac:dyDescent="0.35">
      <c r="A609" s="45" t="s">
        <v>85</v>
      </c>
      <c r="B609">
        <v>8672.34</v>
      </c>
      <c r="C609">
        <v>108.40430000000001</v>
      </c>
      <c r="D609">
        <v>80</v>
      </c>
    </row>
    <row r="610" spans="1:4" x14ac:dyDescent="0.35">
      <c r="A610" s="45" t="s">
        <v>115</v>
      </c>
      <c r="B610">
        <v>8107.14</v>
      </c>
      <c r="C610">
        <v>225.19829999999999</v>
      </c>
      <c r="D610">
        <v>36</v>
      </c>
    </row>
    <row r="611" spans="1:4" x14ac:dyDescent="0.35">
      <c r="A611" s="45" t="s">
        <v>116</v>
      </c>
      <c r="B611">
        <v>9251.08</v>
      </c>
      <c r="C611">
        <v>177.90539999999999</v>
      </c>
      <c r="D611">
        <v>52</v>
      </c>
    </row>
    <row r="612" spans="1:4" x14ac:dyDescent="0.35">
      <c r="A612" s="45" t="s">
        <v>117</v>
      </c>
      <c r="B612">
        <v>6048.98</v>
      </c>
      <c r="C612">
        <v>168.02719999999999</v>
      </c>
      <c r="D612">
        <v>36</v>
      </c>
    </row>
    <row r="613" spans="1:4" x14ac:dyDescent="0.35">
      <c r="A613" s="45" t="s">
        <v>104</v>
      </c>
      <c r="B613">
        <v>4943.3900000000003</v>
      </c>
      <c r="C613">
        <v>120.5705</v>
      </c>
      <c r="D613">
        <v>41</v>
      </c>
    </row>
    <row r="614" spans="1:4" x14ac:dyDescent="0.35">
      <c r="A614" s="45" t="s">
        <v>102</v>
      </c>
      <c r="B614">
        <v>7924.85</v>
      </c>
      <c r="C614">
        <v>198.12129999999999</v>
      </c>
      <c r="D614">
        <v>40</v>
      </c>
    </row>
    <row r="615" spans="1:4" x14ac:dyDescent="0.35">
      <c r="A615" s="45" t="s">
        <v>118</v>
      </c>
      <c r="B615">
        <v>6041.17</v>
      </c>
      <c r="C615">
        <v>120.82340000000001</v>
      </c>
      <c r="D615">
        <v>50</v>
      </c>
    </row>
    <row r="616" spans="1:4" x14ac:dyDescent="0.35">
      <c r="A616" s="45" t="s">
        <v>100</v>
      </c>
      <c r="B616">
        <v>7829.59</v>
      </c>
      <c r="C616">
        <v>170.20849999999999</v>
      </c>
      <c r="D616">
        <v>46</v>
      </c>
    </row>
    <row r="617" spans="1:4" x14ac:dyDescent="0.35">
      <c r="A617" s="45" t="s">
        <v>119</v>
      </c>
      <c r="B617">
        <v>5293.91</v>
      </c>
      <c r="C617">
        <v>143.07859999999999</v>
      </c>
      <c r="D617">
        <v>37</v>
      </c>
    </row>
    <row r="618" spans="1:4" x14ac:dyDescent="0.35">
      <c r="A618" s="45" t="s">
        <v>108</v>
      </c>
      <c r="B618">
        <v>10190.34</v>
      </c>
      <c r="C618">
        <v>192.2706</v>
      </c>
      <c r="D618">
        <v>53</v>
      </c>
    </row>
    <row r="619" spans="1:4" x14ac:dyDescent="0.35">
      <c r="A619" s="1" t="s">
        <v>40</v>
      </c>
      <c r="B619">
        <v>116550.68</v>
      </c>
      <c r="C619">
        <v>2552.6536000000001</v>
      </c>
      <c r="D619">
        <v>820</v>
      </c>
    </row>
    <row r="620" spans="1:4" x14ac:dyDescent="0.35">
      <c r="A620" s="45" t="s">
        <v>89</v>
      </c>
      <c r="B620">
        <v>6072.92</v>
      </c>
      <c r="C620">
        <v>155.7159</v>
      </c>
      <c r="D620">
        <v>39</v>
      </c>
    </row>
    <row r="621" spans="1:4" x14ac:dyDescent="0.35">
      <c r="A621" s="45" t="s">
        <v>106</v>
      </c>
      <c r="B621">
        <v>6940.03</v>
      </c>
      <c r="C621">
        <v>177.9495</v>
      </c>
      <c r="D621">
        <v>39</v>
      </c>
    </row>
    <row r="622" spans="1:4" x14ac:dyDescent="0.35">
      <c r="A622" s="45" t="s">
        <v>97</v>
      </c>
      <c r="B622">
        <v>4283.28</v>
      </c>
      <c r="C622">
        <v>109.82769999999999</v>
      </c>
      <c r="D622">
        <v>39</v>
      </c>
    </row>
    <row r="623" spans="1:4" x14ac:dyDescent="0.35">
      <c r="A623" s="45" t="s">
        <v>112</v>
      </c>
      <c r="B623">
        <v>5332.62</v>
      </c>
      <c r="C623">
        <v>126.9671</v>
      </c>
      <c r="D623">
        <v>42</v>
      </c>
    </row>
    <row r="624" spans="1:4" x14ac:dyDescent="0.35">
      <c r="A624" s="45" t="s">
        <v>81</v>
      </c>
      <c r="B624">
        <v>16498.580000000002</v>
      </c>
      <c r="C624">
        <v>138.64349999999999</v>
      </c>
      <c r="D624">
        <v>119</v>
      </c>
    </row>
    <row r="625" spans="1:4" x14ac:dyDescent="0.35">
      <c r="A625" s="45" t="s">
        <v>113</v>
      </c>
      <c r="B625">
        <v>4636.29</v>
      </c>
      <c r="C625">
        <v>98.644499999999994</v>
      </c>
      <c r="D625">
        <v>47</v>
      </c>
    </row>
    <row r="626" spans="1:4" x14ac:dyDescent="0.35">
      <c r="A626" s="45" t="s">
        <v>93</v>
      </c>
      <c r="B626">
        <v>4811.95</v>
      </c>
      <c r="C626">
        <v>114.5702</v>
      </c>
      <c r="D626">
        <v>42</v>
      </c>
    </row>
    <row r="627" spans="1:4" x14ac:dyDescent="0.35">
      <c r="A627" s="45" t="s">
        <v>114</v>
      </c>
      <c r="B627">
        <v>5791.53</v>
      </c>
      <c r="C627">
        <v>134.6867</v>
      </c>
      <c r="D627">
        <v>43</v>
      </c>
    </row>
    <row r="628" spans="1:4" x14ac:dyDescent="0.35">
      <c r="A628" s="45" t="s">
        <v>85</v>
      </c>
      <c r="B628">
        <v>10205.790000000001</v>
      </c>
      <c r="C628">
        <v>175.96190000000001</v>
      </c>
      <c r="D628">
        <v>58</v>
      </c>
    </row>
    <row r="629" spans="1:4" x14ac:dyDescent="0.35">
      <c r="A629" s="45" t="s">
        <v>115</v>
      </c>
      <c r="B629">
        <v>5435.15</v>
      </c>
      <c r="C629">
        <v>123.5261</v>
      </c>
      <c r="D629">
        <v>44</v>
      </c>
    </row>
    <row r="630" spans="1:4" x14ac:dyDescent="0.35">
      <c r="A630" s="45" t="s">
        <v>116</v>
      </c>
      <c r="B630">
        <v>7181</v>
      </c>
      <c r="C630">
        <v>170.97620000000001</v>
      </c>
      <c r="D630">
        <v>42</v>
      </c>
    </row>
    <row r="631" spans="1:4" x14ac:dyDescent="0.35">
      <c r="A631" s="45" t="s">
        <v>117</v>
      </c>
      <c r="B631">
        <v>7348.28</v>
      </c>
      <c r="C631">
        <v>183.70699999999999</v>
      </c>
      <c r="D631">
        <v>40</v>
      </c>
    </row>
    <row r="632" spans="1:4" x14ac:dyDescent="0.35">
      <c r="A632" s="45" t="s">
        <v>104</v>
      </c>
      <c r="B632">
        <v>4791.04</v>
      </c>
      <c r="C632">
        <v>122.8472</v>
      </c>
      <c r="D632">
        <v>39</v>
      </c>
    </row>
    <row r="633" spans="1:4" x14ac:dyDescent="0.35">
      <c r="A633" s="45" t="s">
        <v>102</v>
      </c>
      <c r="B633">
        <v>3803.67</v>
      </c>
      <c r="C633">
        <v>100.0966</v>
      </c>
      <c r="D633">
        <v>38</v>
      </c>
    </row>
    <row r="634" spans="1:4" x14ac:dyDescent="0.35">
      <c r="A634" s="45" t="s">
        <v>118</v>
      </c>
      <c r="B634">
        <v>3523.49</v>
      </c>
      <c r="C634">
        <v>97.874700000000004</v>
      </c>
      <c r="D634">
        <v>36</v>
      </c>
    </row>
    <row r="635" spans="1:4" x14ac:dyDescent="0.35">
      <c r="A635" s="45" t="s">
        <v>100</v>
      </c>
      <c r="B635">
        <v>9468.2800000000007</v>
      </c>
      <c r="C635">
        <v>242.7764</v>
      </c>
      <c r="D635">
        <v>39</v>
      </c>
    </row>
    <row r="636" spans="1:4" x14ac:dyDescent="0.35">
      <c r="A636" s="45" t="s">
        <v>119</v>
      </c>
      <c r="B636">
        <v>6525.2</v>
      </c>
      <c r="C636">
        <v>163.13</v>
      </c>
      <c r="D636">
        <v>40</v>
      </c>
    </row>
    <row r="637" spans="1:4" x14ac:dyDescent="0.35">
      <c r="A637" s="45" t="s">
        <v>108</v>
      </c>
      <c r="B637">
        <v>3901.58</v>
      </c>
      <c r="C637">
        <v>114.75239999999999</v>
      </c>
      <c r="D637">
        <v>34</v>
      </c>
    </row>
    <row r="638" spans="1:4" x14ac:dyDescent="0.35">
      <c r="A638" s="1" t="s">
        <v>41</v>
      </c>
      <c r="B638">
        <v>124204.24</v>
      </c>
      <c r="C638">
        <v>2437.2502000000004</v>
      </c>
      <c r="D638">
        <v>917</v>
      </c>
    </row>
    <row r="639" spans="1:4" x14ac:dyDescent="0.35">
      <c r="A639" s="45" t="s">
        <v>89</v>
      </c>
      <c r="B639">
        <v>5876.03</v>
      </c>
      <c r="C639">
        <v>130.57839999999999</v>
      </c>
      <c r="D639">
        <v>45</v>
      </c>
    </row>
    <row r="640" spans="1:4" x14ac:dyDescent="0.35">
      <c r="A640" s="45" t="s">
        <v>106</v>
      </c>
      <c r="B640">
        <v>3573.83</v>
      </c>
      <c r="C640">
        <v>96.59</v>
      </c>
      <c r="D640">
        <v>37</v>
      </c>
    </row>
    <row r="641" spans="1:4" x14ac:dyDescent="0.35">
      <c r="A641" s="45" t="s">
        <v>97</v>
      </c>
      <c r="B641">
        <v>7053.97</v>
      </c>
      <c r="C641">
        <v>172.048</v>
      </c>
      <c r="D641">
        <v>41</v>
      </c>
    </row>
    <row r="642" spans="1:4" x14ac:dyDescent="0.35">
      <c r="A642" s="45" t="s">
        <v>112</v>
      </c>
      <c r="B642">
        <v>7970.06</v>
      </c>
      <c r="C642">
        <v>173.26220000000001</v>
      </c>
      <c r="D642">
        <v>46</v>
      </c>
    </row>
    <row r="643" spans="1:4" x14ac:dyDescent="0.35">
      <c r="A643" s="45" t="s">
        <v>81</v>
      </c>
      <c r="B643">
        <v>12822.71</v>
      </c>
      <c r="C643">
        <v>101.7675</v>
      </c>
      <c r="D643">
        <v>126</v>
      </c>
    </row>
    <row r="644" spans="1:4" x14ac:dyDescent="0.35">
      <c r="A644" s="45" t="s">
        <v>113</v>
      </c>
      <c r="B644">
        <v>7683.09</v>
      </c>
      <c r="C644">
        <v>160.06440000000001</v>
      </c>
      <c r="D644">
        <v>48</v>
      </c>
    </row>
    <row r="645" spans="1:4" x14ac:dyDescent="0.35">
      <c r="A645" s="45" t="s">
        <v>93</v>
      </c>
      <c r="B645">
        <v>6269.37</v>
      </c>
      <c r="C645">
        <v>136.29069999999999</v>
      </c>
      <c r="D645">
        <v>46</v>
      </c>
    </row>
    <row r="646" spans="1:4" x14ac:dyDescent="0.35">
      <c r="A646" s="45" t="s">
        <v>114</v>
      </c>
      <c r="B646">
        <v>6069.39</v>
      </c>
      <c r="C646">
        <v>159.7208</v>
      </c>
      <c r="D646">
        <v>38</v>
      </c>
    </row>
    <row r="647" spans="1:4" x14ac:dyDescent="0.35">
      <c r="A647" s="45" t="s">
        <v>85</v>
      </c>
      <c r="B647">
        <v>17206.47</v>
      </c>
      <c r="C647">
        <v>187.02680000000001</v>
      </c>
      <c r="D647">
        <v>92</v>
      </c>
    </row>
    <row r="648" spans="1:4" x14ac:dyDescent="0.35">
      <c r="A648" s="45" t="s">
        <v>115</v>
      </c>
      <c r="B648">
        <v>8136.62</v>
      </c>
      <c r="C648">
        <v>180.81379999999999</v>
      </c>
      <c r="D648">
        <v>45</v>
      </c>
    </row>
    <row r="649" spans="1:4" x14ac:dyDescent="0.35">
      <c r="A649" s="45" t="s">
        <v>116</v>
      </c>
      <c r="B649">
        <v>2822.45</v>
      </c>
      <c r="C649">
        <v>65.638400000000004</v>
      </c>
      <c r="D649">
        <v>43</v>
      </c>
    </row>
    <row r="650" spans="1:4" x14ac:dyDescent="0.35">
      <c r="A650" s="45" t="s">
        <v>117</v>
      </c>
      <c r="B650">
        <v>4688.7299999999996</v>
      </c>
      <c r="C650">
        <v>117.2183</v>
      </c>
      <c r="D650">
        <v>40</v>
      </c>
    </row>
    <row r="651" spans="1:4" x14ac:dyDescent="0.35">
      <c r="A651" s="45" t="s">
        <v>104</v>
      </c>
      <c r="B651">
        <v>4082.96</v>
      </c>
      <c r="C651">
        <v>97.213300000000004</v>
      </c>
      <c r="D651">
        <v>42</v>
      </c>
    </row>
    <row r="652" spans="1:4" x14ac:dyDescent="0.35">
      <c r="A652" s="45" t="s">
        <v>102</v>
      </c>
      <c r="B652">
        <v>4240.41</v>
      </c>
      <c r="C652">
        <v>92.1828</v>
      </c>
      <c r="D652">
        <v>46</v>
      </c>
    </row>
    <row r="653" spans="1:4" x14ac:dyDescent="0.35">
      <c r="A653" s="45" t="s">
        <v>118</v>
      </c>
      <c r="B653">
        <v>6702.05</v>
      </c>
      <c r="C653">
        <v>176.36969999999999</v>
      </c>
      <c r="D653">
        <v>38</v>
      </c>
    </row>
    <row r="654" spans="1:4" x14ac:dyDescent="0.35">
      <c r="A654" s="45" t="s">
        <v>100</v>
      </c>
      <c r="B654">
        <v>3880.51</v>
      </c>
      <c r="C654">
        <v>80.843999999999994</v>
      </c>
      <c r="D654">
        <v>48</v>
      </c>
    </row>
    <row r="655" spans="1:4" x14ac:dyDescent="0.35">
      <c r="A655" s="45" t="s">
        <v>119</v>
      </c>
      <c r="B655">
        <v>9764.7000000000007</v>
      </c>
      <c r="C655">
        <v>187.78270000000001</v>
      </c>
      <c r="D655">
        <v>52</v>
      </c>
    </row>
    <row r="656" spans="1:4" x14ac:dyDescent="0.35">
      <c r="A656" s="45" t="s">
        <v>108</v>
      </c>
      <c r="B656">
        <v>5360.89</v>
      </c>
      <c r="C656">
        <v>121.83839999999999</v>
      </c>
      <c r="D656">
        <v>44</v>
      </c>
    </row>
    <row r="657" spans="1:4" x14ac:dyDescent="0.35">
      <c r="A657" s="1" t="s">
        <v>42</v>
      </c>
      <c r="B657">
        <v>110361.93</v>
      </c>
      <c r="C657">
        <v>2160.5897999999993</v>
      </c>
      <c r="D657">
        <v>885</v>
      </c>
    </row>
    <row r="658" spans="1:4" x14ac:dyDescent="0.35">
      <c r="A658" s="45" t="s">
        <v>89</v>
      </c>
      <c r="B658">
        <v>5358.38</v>
      </c>
      <c r="C658">
        <v>124.6135</v>
      </c>
      <c r="D658">
        <v>43</v>
      </c>
    </row>
    <row r="659" spans="1:4" x14ac:dyDescent="0.35">
      <c r="A659" s="45" t="s">
        <v>106</v>
      </c>
      <c r="B659">
        <v>4133.51</v>
      </c>
      <c r="C659">
        <v>100.8173</v>
      </c>
      <c r="D659">
        <v>41</v>
      </c>
    </row>
    <row r="660" spans="1:4" x14ac:dyDescent="0.35">
      <c r="A660" s="45" t="s">
        <v>97</v>
      </c>
      <c r="B660">
        <v>6006.87</v>
      </c>
      <c r="C660">
        <v>133.48599999999999</v>
      </c>
      <c r="D660">
        <v>45</v>
      </c>
    </row>
    <row r="661" spans="1:4" x14ac:dyDescent="0.35">
      <c r="A661" s="45" t="s">
        <v>112</v>
      </c>
      <c r="B661">
        <v>3181.05</v>
      </c>
      <c r="C661">
        <v>83.711799999999997</v>
      </c>
      <c r="D661">
        <v>38</v>
      </c>
    </row>
    <row r="662" spans="1:4" x14ac:dyDescent="0.35">
      <c r="A662" s="45" t="s">
        <v>81</v>
      </c>
      <c r="B662">
        <v>20581.05</v>
      </c>
      <c r="C662">
        <v>162.05549999999999</v>
      </c>
      <c r="D662">
        <v>127</v>
      </c>
    </row>
    <row r="663" spans="1:4" x14ac:dyDescent="0.35">
      <c r="A663" s="45" t="s">
        <v>113</v>
      </c>
      <c r="B663">
        <v>8313.7800000000007</v>
      </c>
      <c r="C663">
        <v>202.77510000000001</v>
      </c>
      <c r="D663">
        <v>41</v>
      </c>
    </row>
    <row r="664" spans="1:4" x14ac:dyDescent="0.35">
      <c r="A664" s="45" t="s">
        <v>93</v>
      </c>
      <c r="B664">
        <v>3329.9</v>
      </c>
      <c r="C664">
        <v>73.997799999999998</v>
      </c>
      <c r="D664">
        <v>45</v>
      </c>
    </row>
    <row r="665" spans="1:4" x14ac:dyDescent="0.35">
      <c r="A665" s="45" t="s">
        <v>114</v>
      </c>
      <c r="B665">
        <v>4313.2299999999996</v>
      </c>
      <c r="C665">
        <v>107.8308</v>
      </c>
      <c r="D665">
        <v>40</v>
      </c>
    </row>
    <row r="666" spans="1:4" x14ac:dyDescent="0.35">
      <c r="A666" s="45" t="s">
        <v>85</v>
      </c>
      <c r="B666">
        <v>11818.36</v>
      </c>
      <c r="C666">
        <v>131.3151</v>
      </c>
      <c r="D666">
        <v>90</v>
      </c>
    </row>
    <row r="667" spans="1:4" x14ac:dyDescent="0.35">
      <c r="A667" s="45" t="s">
        <v>115</v>
      </c>
      <c r="B667">
        <v>5032.21</v>
      </c>
      <c r="C667">
        <v>107.06829999999999</v>
      </c>
      <c r="D667">
        <v>47</v>
      </c>
    </row>
    <row r="668" spans="1:4" x14ac:dyDescent="0.35">
      <c r="A668" s="45" t="s">
        <v>116</v>
      </c>
      <c r="B668">
        <v>4927.37</v>
      </c>
      <c r="C668">
        <v>120.1798</v>
      </c>
      <c r="D668">
        <v>41</v>
      </c>
    </row>
    <row r="669" spans="1:4" x14ac:dyDescent="0.35">
      <c r="A669" s="45" t="s">
        <v>117</v>
      </c>
      <c r="B669">
        <v>6050.95</v>
      </c>
      <c r="C669">
        <v>168.08189999999999</v>
      </c>
      <c r="D669">
        <v>36</v>
      </c>
    </row>
    <row r="670" spans="1:4" x14ac:dyDescent="0.35">
      <c r="A670" s="45" t="s">
        <v>104</v>
      </c>
      <c r="B670">
        <v>7575.18</v>
      </c>
      <c r="C670">
        <v>148.53290000000001</v>
      </c>
      <c r="D670">
        <v>51</v>
      </c>
    </row>
    <row r="671" spans="1:4" x14ac:dyDescent="0.35">
      <c r="A671" s="45" t="s">
        <v>102</v>
      </c>
      <c r="B671">
        <v>5397.66</v>
      </c>
      <c r="C671">
        <v>122.6741</v>
      </c>
      <c r="D671">
        <v>44</v>
      </c>
    </row>
    <row r="672" spans="1:4" x14ac:dyDescent="0.35">
      <c r="A672" s="45" t="s">
        <v>118</v>
      </c>
      <c r="B672">
        <v>4112.6400000000003</v>
      </c>
      <c r="C672">
        <v>114.24</v>
      </c>
      <c r="D672">
        <v>36</v>
      </c>
    </row>
    <row r="673" spans="1:4" x14ac:dyDescent="0.35">
      <c r="A673" s="45" t="s">
        <v>100</v>
      </c>
      <c r="B673">
        <v>4544.29</v>
      </c>
      <c r="C673">
        <v>108.1974</v>
      </c>
      <c r="D673">
        <v>42</v>
      </c>
    </row>
    <row r="674" spans="1:4" x14ac:dyDescent="0.35">
      <c r="A674" s="45" t="s">
        <v>119</v>
      </c>
      <c r="B674">
        <v>3535.18</v>
      </c>
      <c r="C674">
        <v>101.0051</v>
      </c>
      <c r="D674">
        <v>35</v>
      </c>
    </row>
    <row r="675" spans="1:4" x14ac:dyDescent="0.35">
      <c r="A675" s="45" t="s">
        <v>108</v>
      </c>
      <c r="B675">
        <v>2150.3200000000002</v>
      </c>
      <c r="C675">
        <v>50.007399999999997</v>
      </c>
      <c r="D675">
        <v>43</v>
      </c>
    </row>
    <row r="676" spans="1:4" x14ac:dyDescent="0.35">
      <c r="A676" s="1" t="s">
        <v>43</v>
      </c>
      <c r="B676">
        <v>127097.69</v>
      </c>
      <c r="C676">
        <v>2719.2508999999995</v>
      </c>
      <c r="D676">
        <v>855</v>
      </c>
    </row>
    <row r="677" spans="1:4" x14ac:dyDescent="0.35">
      <c r="A677" s="45" t="s">
        <v>89</v>
      </c>
      <c r="B677">
        <v>6496.05</v>
      </c>
      <c r="C677">
        <v>144.35669999999999</v>
      </c>
      <c r="D677">
        <v>45</v>
      </c>
    </row>
    <row r="678" spans="1:4" x14ac:dyDescent="0.35">
      <c r="A678" s="45" t="s">
        <v>106</v>
      </c>
      <c r="B678">
        <v>6157.35</v>
      </c>
      <c r="C678">
        <v>153.93379999999999</v>
      </c>
      <c r="D678">
        <v>40</v>
      </c>
    </row>
    <row r="679" spans="1:4" x14ac:dyDescent="0.35">
      <c r="A679" s="45" t="s">
        <v>97</v>
      </c>
      <c r="B679">
        <v>7043.22</v>
      </c>
      <c r="C679">
        <v>143.73920000000001</v>
      </c>
      <c r="D679">
        <v>49</v>
      </c>
    </row>
    <row r="680" spans="1:4" x14ac:dyDescent="0.35">
      <c r="A680" s="45" t="s">
        <v>112</v>
      </c>
      <c r="B680">
        <v>6131.45</v>
      </c>
      <c r="C680">
        <v>227.0907</v>
      </c>
      <c r="D680">
        <v>27</v>
      </c>
    </row>
    <row r="681" spans="1:4" x14ac:dyDescent="0.35">
      <c r="A681" s="45" t="s">
        <v>81</v>
      </c>
      <c r="B681">
        <v>17440.72</v>
      </c>
      <c r="C681">
        <v>139.5258</v>
      </c>
      <c r="D681">
        <v>125</v>
      </c>
    </row>
    <row r="682" spans="1:4" x14ac:dyDescent="0.35">
      <c r="A682" s="45" t="s">
        <v>113</v>
      </c>
      <c r="B682">
        <v>10212.18</v>
      </c>
      <c r="C682">
        <v>255.30449999999999</v>
      </c>
      <c r="D682">
        <v>40</v>
      </c>
    </row>
    <row r="683" spans="1:4" x14ac:dyDescent="0.35">
      <c r="A683" s="45" t="s">
        <v>93</v>
      </c>
      <c r="B683">
        <v>4944.17</v>
      </c>
      <c r="C683">
        <v>126.7736</v>
      </c>
      <c r="D683">
        <v>39</v>
      </c>
    </row>
    <row r="684" spans="1:4" x14ac:dyDescent="0.35">
      <c r="A684" s="45" t="s">
        <v>114</v>
      </c>
      <c r="B684">
        <v>6451.46</v>
      </c>
      <c r="C684">
        <v>153.6062</v>
      </c>
      <c r="D684">
        <v>42</v>
      </c>
    </row>
    <row r="685" spans="1:4" x14ac:dyDescent="0.35">
      <c r="A685" s="45" t="s">
        <v>85</v>
      </c>
      <c r="B685">
        <v>13912.35</v>
      </c>
      <c r="C685">
        <v>149.59520000000001</v>
      </c>
      <c r="D685">
        <v>93</v>
      </c>
    </row>
    <row r="686" spans="1:4" x14ac:dyDescent="0.35">
      <c r="A686" s="45" t="s">
        <v>115</v>
      </c>
      <c r="B686">
        <v>5327.95</v>
      </c>
      <c r="C686">
        <v>140.20920000000001</v>
      </c>
      <c r="D686">
        <v>38</v>
      </c>
    </row>
    <row r="687" spans="1:4" x14ac:dyDescent="0.35">
      <c r="A687" s="45" t="s">
        <v>116</v>
      </c>
      <c r="B687">
        <v>6419.95</v>
      </c>
      <c r="C687">
        <v>178.33189999999999</v>
      </c>
      <c r="D687">
        <v>36</v>
      </c>
    </row>
    <row r="688" spans="1:4" x14ac:dyDescent="0.35">
      <c r="A688" s="45" t="s">
        <v>117</v>
      </c>
      <c r="B688">
        <v>3612.63</v>
      </c>
      <c r="C688">
        <v>112.8947</v>
      </c>
      <c r="D688">
        <v>32</v>
      </c>
    </row>
    <row r="689" spans="1:4" x14ac:dyDescent="0.35">
      <c r="A689" s="45" t="s">
        <v>104</v>
      </c>
      <c r="B689">
        <v>3013.31</v>
      </c>
      <c r="C689">
        <v>73.495400000000004</v>
      </c>
      <c r="D689">
        <v>41</v>
      </c>
    </row>
    <row r="690" spans="1:4" x14ac:dyDescent="0.35">
      <c r="A690" s="45" t="s">
        <v>102</v>
      </c>
      <c r="B690">
        <v>6264.7</v>
      </c>
      <c r="C690">
        <v>152.79759999999999</v>
      </c>
      <c r="D690">
        <v>41</v>
      </c>
    </row>
    <row r="691" spans="1:4" x14ac:dyDescent="0.35">
      <c r="A691" s="45" t="s">
        <v>118</v>
      </c>
      <c r="B691">
        <v>7217.72</v>
      </c>
      <c r="C691">
        <v>128.8879</v>
      </c>
      <c r="D691">
        <v>56</v>
      </c>
    </row>
    <row r="692" spans="1:4" x14ac:dyDescent="0.35">
      <c r="A692" s="45" t="s">
        <v>100</v>
      </c>
      <c r="B692">
        <v>4498.1400000000003</v>
      </c>
      <c r="C692">
        <v>136.3073</v>
      </c>
      <c r="D692">
        <v>33</v>
      </c>
    </row>
    <row r="693" spans="1:4" x14ac:dyDescent="0.35">
      <c r="A693" s="45" t="s">
        <v>119</v>
      </c>
      <c r="B693">
        <v>7475.28</v>
      </c>
      <c r="C693">
        <v>177.9829</v>
      </c>
      <c r="D693">
        <v>42</v>
      </c>
    </row>
    <row r="694" spans="1:4" x14ac:dyDescent="0.35">
      <c r="A694" s="45" t="s">
        <v>108</v>
      </c>
      <c r="B694">
        <v>4479.0600000000004</v>
      </c>
      <c r="C694">
        <v>124.4183</v>
      </c>
      <c r="D694">
        <v>36</v>
      </c>
    </row>
    <row r="695" spans="1:4" x14ac:dyDescent="0.35">
      <c r="A695" s="1" t="s">
        <v>44</v>
      </c>
      <c r="B695">
        <v>181006.05000000002</v>
      </c>
      <c r="C695">
        <v>2243.7431000000001</v>
      </c>
      <c r="D695">
        <v>1463</v>
      </c>
    </row>
    <row r="696" spans="1:4" x14ac:dyDescent="0.35">
      <c r="A696" s="45" t="s">
        <v>89</v>
      </c>
      <c r="B696">
        <v>6067.99</v>
      </c>
      <c r="C696">
        <v>90.566999999999993</v>
      </c>
      <c r="D696">
        <v>67</v>
      </c>
    </row>
    <row r="697" spans="1:4" x14ac:dyDescent="0.35">
      <c r="A697" s="45" t="s">
        <v>106</v>
      </c>
      <c r="B697">
        <v>6003.16</v>
      </c>
      <c r="C697">
        <v>103.50279999999999</v>
      </c>
      <c r="D697">
        <v>58</v>
      </c>
    </row>
    <row r="698" spans="1:4" x14ac:dyDescent="0.35">
      <c r="A698" s="45" t="s">
        <v>97</v>
      </c>
      <c r="B698">
        <v>10534.06</v>
      </c>
      <c r="C698">
        <v>152.66749999999999</v>
      </c>
      <c r="D698">
        <v>69</v>
      </c>
    </row>
    <row r="699" spans="1:4" x14ac:dyDescent="0.35">
      <c r="A699" s="45" t="s">
        <v>112</v>
      </c>
      <c r="B699">
        <v>9278.92</v>
      </c>
      <c r="C699">
        <v>140.58969999999999</v>
      </c>
      <c r="D699">
        <v>66</v>
      </c>
    </row>
    <row r="700" spans="1:4" x14ac:dyDescent="0.35">
      <c r="A700" s="45" t="s">
        <v>81</v>
      </c>
      <c r="B700">
        <v>32229.52</v>
      </c>
      <c r="C700">
        <v>139.52170000000001</v>
      </c>
      <c r="D700">
        <v>231</v>
      </c>
    </row>
    <row r="701" spans="1:4" x14ac:dyDescent="0.35">
      <c r="A701" s="45" t="s">
        <v>113</v>
      </c>
      <c r="B701">
        <v>4954.22</v>
      </c>
      <c r="C701">
        <v>88.468199999999996</v>
      </c>
      <c r="D701">
        <v>56</v>
      </c>
    </row>
    <row r="702" spans="1:4" x14ac:dyDescent="0.35">
      <c r="A702" s="45" t="s">
        <v>93</v>
      </c>
      <c r="B702">
        <v>14334.42</v>
      </c>
      <c r="C702">
        <v>217.18819999999999</v>
      </c>
      <c r="D702">
        <v>66</v>
      </c>
    </row>
    <row r="703" spans="1:4" x14ac:dyDescent="0.35">
      <c r="A703" s="45" t="s">
        <v>114</v>
      </c>
      <c r="B703">
        <v>9209.44</v>
      </c>
      <c r="C703">
        <v>131.5634</v>
      </c>
      <c r="D703">
        <v>70</v>
      </c>
    </row>
    <row r="704" spans="1:4" x14ac:dyDescent="0.35">
      <c r="A704" s="45" t="s">
        <v>85</v>
      </c>
      <c r="B704">
        <v>12908.06</v>
      </c>
      <c r="C704">
        <v>90.266199999999998</v>
      </c>
      <c r="D704">
        <v>143</v>
      </c>
    </row>
    <row r="705" spans="1:4" x14ac:dyDescent="0.35">
      <c r="A705" s="45" t="s">
        <v>115</v>
      </c>
      <c r="B705">
        <v>11143.84</v>
      </c>
      <c r="C705">
        <v>144.7252</v>
      </c>
      <c r="D705">
        <v>77</v>
      </c>
    </row>
    <row r="706" spans="1:4" x14ac:dyDescent="0.35">
      <c r="A706" s="45" t="s">
        <v>116</v>
      </c>
      <c r="B706">
        <v>7828.46</v>
      </c>
      <c r="C706">
        <v>120.4378</v>
      </c>
      <c r="D706">
        <v>65</v>
      </c>
    </row>
    <row r="707" spans="1:4" x14ac:dyDescent="0.35">
      <c r="A707" s="45" t="s">
        <v>117</v>
      </c>
      <c r="B707">
        <v>4910.0200000000004</v>
      </c>
      <c r="C707">
        <v>66.351600000000005</v>
      </c>
      <c r="D707">
        <v>74</v>
      </c>
    </row>
    <row r="708" spans="1:4" x14ac:dyDescent="0.35">
      <c r="A708" s="45" t="s">
        <v>104</v>
      </c>
      <c r="B708">
        <v>12017.09</v>
      </c>
      <c r="C708">
        <v>200.28479999999999</v>
      </c>
      <c r="D708">
        <v>60</v>
      </c>
    </row>
    <row r="709" spans="1:4" x14ac:dyDescent="0.35">
      <c r="A709" s="45" t="s">
        <v>102</v>
      </c>
      <c r="B709">
        <v>8260.6200000000008</v>
      </c>
      <c r="C709">
        <v>133.23580000000001</v>
      </c>
      <c r="D709">
        <v>62</v>
      </c>
    </row>
    <row r="710" spans="1:4" x14ac:dyDescent="0.35">
      <c r="A710" s="45" t="s">
        <v>118</v>
      </c>
      <c r="B710">
        <v>5596.88</v>
      </c>
      <c r="C710">
        <v>66.629499999999993</v>
      </c>
      <c r="D710">
        <v>84</v>
      </c>
    </row>
    <row r="711" spans="1:4" x14ac:dyDescent="0.35">
      <c r="A711" s="45" t="s">
        <v>100</v>
      </c>
      <c r="B711">
        <v>7636</v>
      </c>
      <c r="C711">
        <v>113.9701</v>
      </c>
      <c r="D711">
        <v>67</v>
      </c>
    </row>
    <row r="712" spans="1:4" x14ac:dyDescent="0.35">
      <c r="A712" s="45" t="s">
        <v>119</v>
      </c>
      <c r="B712">
        <v>11170.44</v>
      </c>
      <c r="C712">
        <v>148.9392</v>
      </c>
      <c r="D712">
        <v>75</v>
      </c>
    </row>
    <row r="713" spans="1:4" x14ac:dyDescent="0.35">
      <c r="A713" s="45" t="s">
        <v>108</v>
      </c>
      <c r="B713">
        <v>6922.91</v>
      </c>
      <c r="C713">
        <v>94.834400000000002</v>
      </c>
      <c r="D713">
        <v>73</v>
      </c>
    </row>
    <row r="714" spans="1:4" x14ac:dyDescent="0.35">
      <c r="A714" s="1" t="s">
        <v>45</v>
      </c>
      <c r="B714">
        <v>165726.20000000001</v>
      </c>
      <c r="C714">
        <v>2496.4177</v>
      </c>
      <c r="D714">
        <v>1210</v>
      </c>
    </row>
    <row r="715" spans="1:4" x14ac:dyDescent="0.35">
      <c r="A715" s="45" t="s">
        <v>89</v>
      </c>
      <c r="B715">
        <v>11562.72</v>
      </c>
      <c r="C715">
        <v>226.72</v>
      </c>
      <c r="D715">
        <v>51</v>
      </c>
    </row>
    <row r="716" spans="1:4" x14ac:dyDescent="0.35">
      <c r="A716" s="45" t="s">
        <v>106</v>
      </c>
      <c r="B716">
        <v>8125.58</v>
      </c>
      <c r="C716">
        <v>123.1148</v>
      </c>
      <c r="D716">
        <v>66</v>
      </c>
    </row>
    <row r="717" spans="1:4" x14ac:dyDescent="0.35">
      <c r="A717" s="45" t="s">
        <v>97</v>
      </c>
      <c r="B717">
        <v>4348.6499999999996</v>
      </c>
      <c r="C717">
        <v>92.524500000000003</v>
      </c>
      <c r="D717">
        <v>47</v>
      </c>
    </row>
    <row r="718" spans="1:4" x14ac:dyDescent="0.35">
      <c r="A718" s="45" t="s">
        <v>112</v>
      </c>
      <c r="B718">
        <v>4125.93</v>
      </c>
      <c r="C718">
        <v>73.677300000000002</v>
      </c>
      <c r="D718">
        <v>56</v>
      </c>
    </row>
    <row r="719" spans="1:4" x14ac:dyDescent="0.35">
      <c r="A719" s="45" t="s">
        <v>81</v>
      </c>
      <c r="B719">
        <v>26122.33</v>
      </c>
      <c r="C719">
        <v>122.06699999999999</v>
      </c>
      <c r="D719">
        <v>214</v>
      </c>
    </row>
    <row r="720" spans="1:4" x14ac:dyDescent="0.35">
      <c r="A720" s="45" t="s">
        <v>113</v>
      </c>
      <c r="B720">
        <v>9017.08</v>
      </c>
      <c r="C720">
        <v>158.1944</v>
      </c>
      <c r="D720">
        <v>57</v>
      </c>
    </row>
    <row r="721" spans="1:4" x14ac:dyDescent="0.35">
      <c r="A721" s="45" t="s">
        <v>93</v>
      </c>
      <c r="B721">
        <v>9754.56</v>
      </c>
      <c r="C721">
        <v>165.33150000000001</v>
      </c>
      <c r="D721">
        <v>59</v>
      </c>
    </row>
    <row r="722" spans="1:4" x14ac:dyDescent="0.35">
      <c r="A722" s="45" t="s">
        <v>114</v>
      </c>
      <c r="B722">
        <v>5970.04</v>
      </c>
      <c r="C722">
        <v>117.0596</v>
      </c>
      <c r="D722">
        <v>51</v>
      </c>
    </row>
    <row r="723" spans="1:4" x14ac:dyDescent="0.35">
      <c r="A723" s="45" t="s">
        <v>85</v>
      </c>
      <c r="B723">
        <v>17664.53</v>
      </c>
      <c r="C723">
        <v>147.20439999999999</v>
      </c>
      <c r="D723">
        <v>120</v>
      </c>
    </row>
    <row r="724" spans="1:4" x14ac:dyDescent="0.35">
      <c r="A724" s="45" t="s">
        <v>115</v>
      </c>
      <c r="B724">
        <v>7149.19</v>
      </c>
      <c r="C724">
        <v>129.9853</v>
      </c>
      <c r="D724">
        <v>55</v>
      </c>
    </row>
    <row r="725" spans="1:4" x14ac:dyDescent="0.35">
      <c r="A725" s="45" t="s">
        <v>116</v>
      </c>
      <c r="B725">
        <v>5330.63</v>
      </c>
      <c r="C725">
        <v>133.26580000000001</v>
      </c>
      <c r="D725">
        <v>40</v>
      </c>
    </row>
    <row r="726" spans="1:4" x14ac:dyDescent="0.35">
      <c r="A726" s="45" t="s">
        <v>117</v>
      </c>
      <c r="B726">
        <v>9876.09</v>
      </c>
      <c r="C726">
        <v>193.64879999999999</v>
      </c>
      <c r="D726">
        <v>51</v>
      </c>
    </row>
    <row r="727" spans="1:4" x14ac:dyDescent="0.35">
      <c r="A727" s="45" t="s">
        <v>104</v>
      </c>
      <c r="B727">
        <v>6866.27</v>
      </c>
      <c r="C727">
        <v>124.8413</v>
      </c>
      <c r="D727">
        <v>55</v>
      </c>
    </row>
    <row r="728" spans="1:4" x14ac:dyDescent="0.35">
      <c r="A728" s="45" t="s">
        <v>102</v>
      </c>
      <c r="B728">
        <v>9649.98</v>
      </c>
      <c r="C728">
        <v>153.17429999999999</v>
      </c>
      <c r="D728">
        <v>63</v>
      </c>
    </row>
    <row r="729" spans="1:4" x14ac:dyDescent="0.35">
      <c r="A729" s="45" t="s">
        <v>118</v>
      </c>
      <c r="B729">
        <v>5060.2700000000004</v>
      </c>
      <c r="C729">
        <v>93.708699999999993</v>
      </c>
      <c r="D729">
        <v>54</v>
      </c>
    </row>
    <row r="730" spans="1:4" x14ac:dyDescent="0.35">
      <c r="A730" s="45" t="s">
        <v>100</v>
      </c>
      <c r="B730">
        <v>7373.55</v>
      </c>
      <c r="C730">
        <v>156.88399999999999</v>
      </c>
      <c r="D730">
        <v>47</v>
      </c>
    </row>
    <row r="731" spans="1:4" x14ac:dyDescent="0.35">
      <c r="A731" s="45" t="s">
        <v>119</v>
      </c>
      <c r="B731">
        <v>7793.42</v>
      </c>
      <c r="C731">
        <v>136.72669999999999</v>
      </c>
      <c r="D731">
        <v>57</v>
      </c>
    </row>
    <row r="732" spans="1:4" x14ac:dyDescent="0.35">
      <c r="A732" s="45" t="s">
        <v>108</v>
      </c>
      <c r="B732">
        <v>9935.3799999999992</v>
      </c>
      <c r="C732">
        <v>148.2893</v>
      </c>
      <c r="D732">
        <v>67</v>
      </c>
    </row>
    <row r="733" spans="1:4" x14ac:dyDescent="0.35">
      <c r="A733" s="1" t="s">
        <v>46</v>
      </c>
      <c r="B733">
        <v>183144.31</v>
      </c>
      <c r="C733">
        <v>2318.0162999999998</v>
      </c>
      <c r="D733">
        <v>1409</v>
      </c>
    </row>
    <row r="734" spans="1:4" x14ac:dyDescent="0.35">
      <c r="A734" s="45" t="s">
        <v>89</v>
      </c>
      <c r="B734">
        <v>11385.55</v>
      </c>
      <c r="C734">
        <v>155.96639999999999</v>
      </c>
      <c r="D734">
        <v>73</v>
      </c>
    </row>
    <row r="735" spans="1:4" x14ac:dyDescent="0.35">
      <c r="A735" s="45" t="s">
        <v>106</v>
      </c>
      <c r="B735">
        <v>9165.75</v>
      </c>
      <c r="C735">
        <v>141.01150000000001</v>
      </c>
      <c r="D735">
        <v>65</v>
      </c>
    </row>
    <row r="736" spans="1:4" x14ac:dyDescent="0.35">
      <c r="A736" s="45" t="s">
        <v>97</v>
      </c>
      <c r="B736">
        <v>6557.67</v>
      </c>
      <c r="C736">
        <v>93.680999999999997</v>
      </c>
      <c r="D736">
        <v>70</v>
      </c>
    </row>
    <row r="737" spans="1:4" x14ac:dyDescent="0.35">
      <c r="A737" s="45" t="s">
        <v>112</v>
      </c>
      <c r="B737">
        <v>5583.4</v>
      </c>
      <c r="C737">
        <v>105.3472</v>
      </c>
      <c r="D737">
        <v>53</v>
      </c>
    </row>
    <row r="738" spans="1:4" x14ac:dyDescent="0.35">
      <c r="A738" s="45" t="s">
        <v>81</v>
      </c>
      <c r="B738">
        <v>26498.68</v>
      </c>
      <c r="C738">
        <v>124.40689999999999</v>
      </c>
      <c r="D738">
        <v>213</v>
      </c>
    </row>
    <row r="739" spans="1:4" x14ac:dyDescent="0.35">
      <c r="A739" s="45" t="s">
        <v>113</v>
      </c>
      <c r="B739">
        <v>9557.23</v>
      </c>
      <c r="C739">
        <v>122.5286</v>
      </c>
      <c r="D739">
        <v>78</v>
      </c>
    </row>
    <row r="740" spans="1:4" x14ac:dyDescent="0.35">
      <c r="A740" s="45" t="s">
        <v>93</v>
      </c>
      <c r="B740">
        <v>9500.68</v>
      </c>
      <c r="C740">
        <v>150.80439999999999</v>
      </c>
      <c r="D740">
        <v>63</v>
      </c>
    </row>
    <row r="741" spans="1:4" x14ac:dyDescent="0.35">
      <c r="A741" s="45" t="s">
        <v>114</v>
      </c>
      <c r="B741">
        <v>16778.63</v>
      </c>
      <c r="C741">
        <v>195.1003</v>
      </c>
      <c r="D741">
        <v>86</v>
      </c>
    </row>
    <row r="742" spans="1:4" x14ac:dyDescent="0.35">
      <c r="A742" s="45" t="s">
        <v>85</v>
      </c>
      <c r="B742">
        <v>20133.89</v>
      </c>
      <c r="C742">
        <v>144.84809999999999</v>
      </c>
      <c r="D742">
        <v>139</v>
      </c>
    </row>
    <row r="743" spans="1:4" x14ac:dyDescent="0.35">
      <c r="A743" s="45" t="s">
        <v>115</v>
      </c>
      <c r="B743">
        <v>9521.84</v>
      </c>
      <c r="C743">
        <v>128.67349999999999</v>
      </c>
      <c r="D743">
        <v>74</v>
      </c>
    </row>
    <row r="744" spans="1:4" x14ac:dyDescent="0.35">
      <c r="A744" s="45" t="s">
        <v>116</v>
      </c>
      <c r="B744">
        <v>4708.6099999999997</v>
      </c>
      <c r="C744">
        <v>77.190299999999993</v>
      </c>
      <c r="D744">
        <v>61</v>
      </c>
    </row>
    <row r="745" spans="1:4" x14ac:dyDescent="0.35">
      <c r="A745" s="45" t="s">
        <v>117</v>
      </c>
      <c r="B745">
        <v>7523.79</v>
      </c>
      <c r="C745">
        <v>109.04040000000001</v>
      </c>
      <c r="D745">
        <v>69</v>
      </c>
    </row>
    <row r="746" spans="1:4" x14ac:dyDescent="0.35">
      <c r="A746" s="45" t="s">
        <v>104</v>
      </c>
      <c r="B746">
        <v>7147.48</v>
      </c>
      <c r="C746">
        <v>106.6788</v>
      </c>
      <c r="D746">
        <v>67</v>
      </c>
    </row>
    <row r="747" spans="1:4" x14ac:dyDescent="0.35">
      <c r="A747" s="45" t="s">
        <v>102</v>
      </c>
      <c r="B747">
        <v>9129.25</v>
      </c>
      <c r="C747">
        <v>172.25</v>
      </c>
      <c r="D747">
        <v>53</v>
      </c>
    </row>
    <row r="748" spans="1:4" x14ac:dyDescent="0.35">
      <c r="A748" s="45" t="s">
        <v>118</v>
      </c>
      <c r="B748">
        <v>4831.2700000000004</v>
      </c>
      <c r="C748">
        <v>73.201099999999997</v>
      </c>
      <c r="D748">
        <v>66</v>
      </c>
    </row>
    <row r="749" spans="1:4" x14ac:dyDescent="0.35">
      <c r="A749" s="45" t="s">
        <v>100</v>
      </c>
      <c r="B749">
        <v>8665.4699999999993</v>
      </c>
      <c r="C749">
        <v>142.05690000000001</v>
      </c>
      <c r="D749">
        <v>61</v>
      </c>
    </row>
    <row r="750" spans="1:4" x14ac:dyDescent="0.35">
      <c r="A750" s="45" t="s">
        <v>119</v>
      </c>
      <c r="B750">
        <v>6337.41</v>
      </c>
      <c r="C750">
        <v>119.57380000000001</v>
      </c>
      <c r="D750">
        <v>53</v>
      </c>
    </row>
    <row r="751" spans="1:4" x14ac:dyDescent="0.35">
      <c r="A751" s="45" t="s">
        <v>108</v>
      </c>
      <c r="B751">
        <v>10117.709999999999</v>
      </c>
      <c r="C751">
        <v>155.65710000000001</v>
      </c>
      <c r="D751">
        <v>65</v>
      </c>
    </row>
    <row r="752" spans="1:4" x14ac:dyDescent="0.35">
      <c r="A752" s="1" t="s">
        <v>47</v>
      </c>
      <c r="B752">
        <v>168853.86000000002</v>
      </c>
      <c r="C752">
        <v>1673.9825999999998</v>
      </c>
      <c r="D752">
        <v>1800</v>
      </c>
    </row>
    <row r="753" spans="1:4" x14ac:dyDescent="0.35">
      <c r="A753" s="45" t="s">
        <v>89</v>
      </c>
      <c r="B753">
        <v>8024.43</v>
      </c>
      <c r="C753">
        <v>90.162099999999995</v>
      </c>
      <c r="D753">
        <v>89</v>
      </c>
    </row>
    <row r="754" spans="1:4" x14ac:dyDescent="0.35">
      <c r="A754" s="45" t="s">
        <v>106</v>
      </c>
      <c r="B754">
        <v>7955.56</v>
      </c>
      <c r="C754">
        <v>98.216800000000006</v>
      </c>
      <c r="D754">
        <v>81</v>
      </c>
    </row>
    <row r="755" spans="1:4" x14ac:dyDescent="0.35">
      <c r="A755" s="45" t="s">
        <v>97</v>
      </c>
      <c r="B755">
        <v>7368.41</v>
      </c>
      <c r="C755">
        <v>89.858699999999999</v>
      </c>
      <c r="D755">
        <v>82</v>
      </c>
    </row>
    <row r="756" spans="1:4" x14ac:dyDescent="0.35">
      <c r="A756" s="45" t="s">
        <v>112</v>
      </c>
      <c r="B756">
        <v>6292.32</v>
      </c>
      <c r="C756">
        <v>77.683000000000007</v>
      </c>
      <c r="D756">
        <v>81</v>
      </c>
    </row>
    <row r="757" spans="1:4" x14ac:dyDescent="0.35">
      <c r="A757" s="45" t="s">
        <v>81</v>
      </c>
      <c r="B757">
        <v>21806.41</v>
      </c>
      <c r="C757">
        <v>89.738299999999995</v>
      </c>
      <c r="D757">
        <v>243</v>
      </c>
    </row>
    <row r="758" spans="1:4" x14ac:dyDescent="0.35">
      <c r="A758" s="45" t="s">
        <v>113</v>
      </c>
      <c r="B758">
        <v>10951.21</v>
      </c>
      <c r="C758">
        <v>125.876</v>
      </c>
      <c r="D758">
        <v>87</v>
      </c>
    </row>
    <row r="759" spans="1:4" x14ac:dyDescent="0.35">
      <c r="A759" s="45" t="s">
        <v>93</v>
      </c>
      <c r="B759">
        <v>10522.06</v>
      </c>
      <c r="C759">
        <v>111.93680000000001</v>
      </c>
      <c r="D759">
        <v>94</v>
      </c>
    </row>
    <row r="760" spans="1:4" x14ac:dyDescent="0.35">
      <c r="A760" s="45" t="s">
        <v>114</v>
      </c>
      <c r="B760">
        <v>7543.51</v>
      </c>
      <c r="C760">
        <v>95.487499999999997</v>
      </c>
      <c r="D760">
        <v>79</v>
      </c>
    </row>
    <row r="761" spans="1:4" x14ac:dyDescent="0.35">
      <c r="A761" s="45" t="s">
        <v>85</v>
      </c>
      <c r="B761">
        <v>21637.67</v>
      </c>
      <c r="C761">
        <v>117.596</v>
      </c>
      <c r="D761">
        <v>184</v>
      </c>
    </row>
    <row r="762" spans="1:4" x14ac:dyDescent="0.35">
      <c r="A762" s="45" t="s">
        <v>115</v>
      </c>
      <c r="B762">
        <v>8363.5300000000007</v>
      </c>
      <c r="C762">
        <v>111.5137</v>
      </c>
      <c r="D762">
        <v>75</v>
      </c>
    </row>
    <row r="763" spans="1:4" x14ac:dyDescent="0.35">
      <c r="A763" s="45" t="s">
        <v>116</v>
      </c>
      <c r="B763">
        <v>7809.5</v>
      </c>
      <c r="C763">
        <v>83.973100000000002</v>
      </c>
      <c r="D763">
        <v>93</v>
      </c>
    </row>
    <row r="764" spans="1:4" x14ac:dyDescent="0.35">
      <c r="A764" s="45" t="s">
        <v>117</v>
      </c>
      <c r="B764">
        <v>8104.71</v>
      </c>
      <c r="C764">
        <v>90.052300000000002</v>
      </c>
      <c r="D764">
        <v>90</v>
      </c>
    </row>
    <row r="765" spans="1:4" x14ac:dyDescent="0.35">
      <c r="A765" s="45" t="s">
        <v>104</v>
      </c>
      <c r="B765">
        <v>7648.43</v>
      </c>
      <c r="C765">
        <v>81.366299999999995</v>
      </c>
      <c r="D765">
        <v>94</v>
      </c>
    </row>
    <row r="766" spans="1:4" x14ac:dyDescent="0.35">
      <c r="A766" s="45" t="s">
        <v>102</v>
      </c>
      <c r="B766">
        <v>11038.75</v>
      </c>
      <c r="C766">
        <v>134.6189</v>
      </c>
      <c r="D766">
        <v>82</v>
      </c>
    </row>
    <row r="767" spans="1:4" x14ac:dyDescent="0.35">
      <c r="A767" s="45" t="s">
        <v>118</v>
      </c>
      <c r="B767">
        <v>6548.26</v>
      </c>
      <c r="C767">
        <v>79.856800000000007</v>
      </c>
      <c r="D767">
        <v>82</v>
      </c>
    </row>
    <row r="768" spans="1:4" x14ac:dyDescent="0.35">
      <c r="A768" s="45" t="s">
        <v>100</v>
      </c>
      <c r="B768">
        <v>5661.45</v>
      </c>
      <c r="C768">
        <v>64.334699999999998</v>
      </c>
      <c r="D768">
        <v>88</v>
      </c>
    </row>
    <row r="769" spans="1:4" x14ac:dyDescent="0.35">
      <c r="A769" s="45" t="s">
        <v>119</v>
      </c>
      <c r="B769">
        <v>5942.34</v>
      </c>
      <c r="C769">
        <v>69.096999999999994</v>
      </c>
      <c r="D769">
        <v>86</v>
      </c>
    </row>
    <row r="770" spans="1:4" x14ac:dyDescent="0.35">
      <c r="A770" s="45" t="s">
        <v>108</v>
      </c>
      <c r="B770">
        <v>5635.31</v>
      </c>
      <c r="C770">
        <v>62.614600000000003</v>
      </c>
      <c r="D770">
        <v>90</v>
      </c>
    </row>
    <row r="771" spans="1:4" x14ac:dyDescent="0.35">
      <c r="A771" s="1" t="s">
        <v>48</v>
      </c>
      <c r="B771">
        <v>186318.65999999997</v>
      </c>
      <c r="C771">
        <v>1775.5215000000003</v>
      </c>
      <c r="D771">
        <v>1834</v>
      </c>
    </row>
    <row r="772" spans="1:4" x14ac:dyDescent="0.35">
      <c r="A772" s="45" t="s">
        <v>89</v>
      </c>
      <c r="B772">
        <v>5284.19</v>
      </c>
      <c r="C772">
        <v>67.745999999999995</v>
      </c>
      <c r="D772">
        <v>78</v>
      </c>
    </row>
    <row r="773" spans="1:4" x14ac:dyDescent="0.35">
      <c r="A773" s="45" t="s">
        <v>106</v>
      </c>
      <c r="B773">
        <v>10576.05</v>
      </c>
      <c r="C773">
        <v>111.32680000000001</v>
      </c>
      <c r="D773">
        <v>95</v>
      </c>
    </row>
    <row r="774" spans="1:4" x14ac:dyDescent="0.35">
      <c r="A774" s="45" t="s">
        <v>97</v>
      </c>
      <c r="B774">
        <v>6845.76</v>
      </c>
      <c r="C774">
        <v>70.574799999999996</v>
      </c>
      <c r="D774">
        <v>97</v>
      </c>
    </row>
    <row r="775" spans="1:4" x14ac:dyDescent="0.35">
      <c r="A775" s="45" t="s">
        <v>112</v>
      </c>
      <c r="B775">
        <v>8396.75</v>
      </c>
      <c r="C775">
        <v>102.3994</v>
      </c>
      <c r="D775">
        <v>82</v>
      </c>
    </row>
    <row r="776" spans="1:4" x14ac:dyDescent="0.35">
      <c r="A776" s="45" t="s">
        <v>81</v>
      </c>
      <c r="B776">
        <v>29923.56</v>
      </c>
      <c r="C776">
        <v>120.17489999999999</v>
      </c>
      <c r="D776">
        <v>249</v>
      </c>
    </row>
    <row r="777" spans="1:4" x14ac:dyDescent="0.35">
      <c r="A777" s="45" t="s">
        <v>113</v>
      </c>
      <c r="B777">
        <v>6759.04</v>
      </c>
      <c r="C777">
        <v>68.969800000000006</v>
      </c>
      <c r="D777">
        <v>98</v>
      </c>
    </row>
    <row r="778" spans="1:4" x14ac:dyDescent="0.35">
      <c r="A778" s="45" t="s">
        <v>93</v>
      </c>
      <c r="B778">
        <v>4218.0600000000004</v>
      </c>
      <c r="C778">
        <v>55.500799999999998</v>
      </c>
      <c r="D778">
        <v>76</v>
      </c>
    </row>
    <row r="779" spans="1:4" x14ac:dyDescent="0.35">
      <c r="A779" s="45" t="s">
        <v>114</v>
      </c>
      <c r="B779">
        <v>10894.67</v>
      </c>
      <c r="C779">
        <v>115.9007</v>
      </c>
      <c r="D779">
        <v>94</v>
      </c>
    </row>
    <row r="780" spans="1:4" x14ac:dyDescent="0.35">
      <c r="A780" s="45" t="s">
        <v>85</v>
      </c>
      <c r="B780">
        <v>21070.5</v>
      </c>
      <c r="C780">
        <v>121.7948</v>
      </c>
      <c r="D780">
        <v>173</v>
      </c>
    </row>
    <row r="781" spans="1:4" x14ac:dyDescent="0.35">
      <c r="A781" s="45" t="s">
        <v>115</v>
      </c>
      <c r="B781">
        <v>10977.65</v>
      </c>
      <c r="C781">
        <v>112.0168</v>
      </c>
      <c r="D781">
        <v>98</v>
      </c>
    </row>
    <row r="782" spans="1:4" x14ac:dyDescent="0.35">
      <c r="A782" s="45" t="s">
        <v>116</v>
      </c>
      <c r="B782">
        <v>4434.99</v>
      </c>
      <c r="C782">
        <v>50.976900000000001</v>
      </c>
      <c r="D782">
        <v>87</v>
      </c>
    </row>
    <row r="783" spans="1:4" x14ac:dyDescent="0.35">
      <c r="A783" s="45" t="s">
        <v>117</v>
      </c>
      <c r="B783">
        <v>6351.19</v>
      </c>
      <c r="C783">
        <v>73.002200000000002</v>
      </c>
      <c r="D783">
        <v>87</v>
      </c>
    </row>
    <row r="784" spans="1:4" x14ac:dyDescent="0.35">
      <c r="A784" s="45" t="s">
        <v>104</v>
      </c>
      <c r="B784">
        <v>7650.27</v>
      </c>
      <c r="C784">
        <v>92.171899999999994</v>
      </c>
      <c r="D784">
        <v>83</v>
      </c>
    </row>
    <row r="785" spans="1:4" x14ac:dyDescent="0.35">
      <c r="A785" s="45" t="s">
        <v>102</v>
      </c>
      <c r="B785">
        <v>10162.86</v>
      </c>
      <c r="C785">
        <v>122.44410000000001</v>
      </c>
      <c r="D785">
        <v>83</v>
      </c>
    </row>
    <row r="786" spans="1:4" x14ac:dyDescent="0.35">
      <c r="A786" s="45" t="s">
        <v>118</v>
      </c>
      <c r="B786">
        <v>6265.83</v>
      </c>
      <c r="C786">
        <v>72.858500000000006</v>
      </c>
      <c r="D786">
        <v>86</v>
      </c>
    </row>
    <row r="787" spans="1:4" x14ac:dyDescent="0.35">
      <c r="A787" s="45" t="s">
        <v>100</v>
      </c>
      <c r="B787">
        <v>15342.53</v>
      </c>
      <c r="C787">
        <v>170.4726</v>
      </c>
      <c r="D787">
        <v>90</v>
      </c>
    </row>
    <row r="788" spans="1:4" x14ac:dyDescent="0.35">
      <c r="A788" s="45" t="s">
        <v>119</v>
      </c>
      <c r="B788">
        <v>8101.73</v>
      </c>
      <c r="C788">
        <v>81.835700000000003</v>
      </c>
      <c r="D788">
        <v>99</v>
      </c>
    </row>
    <row r="789" spans="1:4" x14ac:dyDescent="0.35">
      <c r="A789" s="45" t="s">
        <v>108</v>
      </c>
      <c r="B789">
        <v>13063.03</v>
      </c>
      <c r="C789">
        <v>165.35480000000001</v>
      </c>
      <c r="D789">
        <v>79</v>
      </c>
    </row>
    <row r="790" spans="1:4" x14ac:dyDescent="0.35">
      <c r="A790" s="1" t="s">
        <v>49</v>
      </c>
      <c r="B790">
        <v>167246.64000000004</v>
      </c>
      <c r="C790">
        <v>1720.4290000000003</v>
      </c>
      <c r="D790">
        <v>1755</v>
      </c>
    </row>
    <row r="791" spans="1:4" x14ac:dyDescent="0.35">
      <c r="A791" s="45" t="s">
        <v>89</v>
      </c>
      <c r="B791">
        <v>6498.49</v>
      </c>
      <c r="C791">
        <v>80.228300000000004</v>
      </c>
      <c r="D791">
        <v>81</v>
      </c>
    </row>
    <row r="792" spans="1:4" x14ac:dyDescent="0.35">
      <c r="A792" s="45" t="s">
        <v>106</v>
      </c>
      <c r="B792">
        <v>5472.34</v>
      </c>
      <c r="C792">
        <v>67.559799999999996</v>
      </c>
      <c r="D792">
        <v>81</v>
      </c>
    </row>
    <row r="793" spans="1:4" x14ac:dyDescent="0.35">
      <c r="A793" s="45" t="s">
        <v>97</v>
      </c>
      <c r="B793">
        <v>10313.59</v>
      </c>
      <c r="C793">
        <v>107.4332</v>
      </c>
      <c r="D793">
        <v>96</v>
      </c>
    </row>
    <row r="794" spans="1:4" x14ac:dyDescent="0.35">
      <c r="A794" s="45" t="s">
        <v>112</v>
      </c>
      <c r="B794">
        <v>6202.04</v>
      </c>
      <c r="C794">
        <v>71.287800000000004</v>
      </c>
      <c r="D794">
        <v>87</v>
      </c>
    </row>
    <row r="795" spans="1:4" x14ac:dyDescent="0.35">
      <c r="A795" s="45" t="s">
        <v>81</v>
      </c>
      <c r="B795">
        <v>23831.46</v>
      </c>
      <c r="C795">
        <v>96.483599999999996</v>
      </c>
      <c r="D795">
        <v>247</v>
      </c>
    </row>
    <row r="796" spans="1:4" x14ac:dyDescent="0.35">
      <c r="A796" s="45" t="s">
        <v>113</v>
      </c>
      <c r="B796">
        <v>6947.08</v>
      </c>
      <c r="C796">
        <v>80.78</v>
      </c>
      <c r="D796">
        <v>86</v>
      </c>
    </row>
    <row r="797" spans="1:4" x14ac:dyDescent="0.35">
      <c r="A797" s="45" t="s">
        <v>93</v>
      </c>
      <c r="B797">
        <v>7788.6</v>
      </c>
      <c r="C797">
        <v>98.5899</v>
      </c>
      <c r="D797">
        <v>79</v>
      </c>
    </row>
    <row r="798" spans="1:4" x14ac:dyDescent="0.35">
      <c r="A798" s="45" t="s">
        <v>114</v>
      </c>
      <c r="B798">
        <v>7418.24</v>
      </c>
      <c r="C798">
        <v>88.312399999999997</v>
      </c>
      <c r="D798">
        <v>84</v>
      </c>
    </row>
    <row r="799" spans="1:4" x14ac:dyDescent="0.35">
      <c r="A799" s="45" t="s">
        <v>85</v>
      </c>
      <c r="B799">
        <v>14422.26</v>
      </c>
      <c r="C799">
        <v>84.836799999999997</v>
      </c>
      <c r="D799">
        <v>170</v>
      </c>
    </row>
    <row r="800" spans="1:4" x14ac:dyDescent="0.35">
      <c r="A800" s="45" t="s">
        <v>115</v>
      </c>
      <c r="B800">
        <v>8463.9500000000007</v>
      </c>
      <c r="C800">
        <v>94.043899999999994</v>
      </c>
      <c r="D800">
        <v>90</v>
      </c>
    </row>
    <row r="801" spans="1:4" x14ac:dyDescent="0.35">
      <c r="A801" s="45" t="s">
        <v>116</v>
      </c>
      <c r="B801">
        <v>9071.02</v>
      </c>
      <c r="C801">
        <v>117.80549999999999</v>
      </c>
      <c r="D801">
        <v>77</v>
      </c>
    </row>
    <row r="802" spans="1:4" x14ac:dyDescent="0.35">
      <c r="A802" s="45" t="s">
        <v>117</v>
      </c>
      <c r="B802">
        <v>11593.07</v>
      </c>
      <c r="C802">
        <v>127.3964</v>
      </c>
      <c r="D802">
        <v>91</v>
      </c>
    </row>
    <row r="803" spans="1:4" x14ac:dyDescent="0.35">
      <c r="A803" s="45" t="s">
        <v>104</v>
      </c>
      <c r="B803">
        <v>6893.88</v>
      </c>
      <c r="C803">
        <v>91.918400000000005</v>
      </c>
      <c r="D803">
        <v>75</v>
      </c>
    </row>
    <row r="804" spans="1:4" x14ac:dyDescent="0.35">
      <c r="A804" s="45" t="s">
        <v>102</v>
      </c>
      <c r="B804">
        <v>12076.04</v>
      </c>
      <c r="C804">
        <v>140.41909999999999</v>
      </c>
      <c r="D804">
        <v>86</v>
      </c>
    </row>
    <row r="805" spans="1:4" x14ac:dyDescent="0.35">
      <c r="A805" s="45" t="s">
        <v>118</v>
      </c>
      <c r="B805">
        <v>5101.79</v>
      </c>
      <c r="C805">
        <v>64.579599999999999</v>
      </c>
      <c r="D805">
        <v>79</v>
      </c>
    </row>
    <row r="806" spans="1:4" x14ac:dyDescent="0.35">
      <c r="A806" s="45" t="s">
        <v>100</v>
      </c>
      <c r="B806">
        <v>7847.76</v>
      </c>
      <c r="C806">
        <v>115.40819999999999</v>
      </c>
      <c r="D806">
        <v>68</v>
      </c>
    </row>
    <row r="807" spans="1:4" x14ac:dyDescent="0.35">
      <c r="A807" s="45" t="s">
        <v>119</v>
      </c>
      <c r="B807">
        <v>10120.86</v>
      </c>
      <c r="C807">
        <v>108.8265</v>
      </c>
      <c r="D807">
        <v>93</v>
      </c>
    </row>
    <row r="808" spans="1:4" x14ac:dyDescent="0.35">
      <c r="A808" s="45" t="s">
        <v>108</v>
      </c>
      <c r="B808">
        <v>7184.17</v>
      </c>
      <c r="C808">
        <v>84.519599999999997</v>
      </c>
      <c r="D808">
        <v>85</v>
      </c>
    </row>
    <row r="809" spans="1:4" x14ac:dyDescent="0.35">
      <c r="A809" s="1" t="s">
        <v>50</v>
      </c>
      <c r="B809">
        <v>204640.58000000002</v>
      </c>
      <c r="C809">
        <v>2815.9027000000001</v>
      </c>
      <c r="D809">
        <v>1333</v>
      </c>
    </row>
    <row r="810" spans="1:4" x14ac:dyDescent="0.35">
      <c r="A810" s="45" t="s">
        <v>89</v>
      </c>
      <c r="B810">
        <v>5877.57</v>
      </c>
      <c r="C810">
        <v>81.632900000000006</v>
      </c>
      <c r="D810">
        <v>72</v>
      </c>
    </row>
    <row r="811" spans="1:4" x14ac:dyDescent="0.35">
      <c r="A811" s="45" t="s">
        <v>106</v>
      </c>
      <c r="B811">
        <v>7031.13</v>
      </c>
      <c r="C811">
        <v>101.9004</v>
      </c>
      <c r="D811">
        <v>69</v>
      </c>
    </row>
    <row r="812" spans="1:4" x14ac:dyDescent="0.35">
      <c r="A812" s="45" t="s">
        <v>97</v>
      </c>
      <c r="B812">
        <v>12888.16</v>
      </c>
      <c r="C812">
        <v>263.02370000000002</v>
      </c>
      <c r="D812">
        <v>49</v>
      </c>
    </row>
    <row r="813" spans="1:4" x14ac:dyDescent="0.35">
      <c r="A813" s="45" t="s">
        <v>112</v>
      </c>
      <c r="B813">
        <v>8266.07</v>
      </c>
      <c r="C813">
        <v>153.0754</v>
      </c>
      <c r="D813">
        <v>54</v>
      </c>
    </row>
    <row r="814" spans="1:4" x14ac:dyDescent="0.35">
      <c r="A814" s="45" t="s">
        <v>81</v>
      </c>
      <c r="B814">
        <v>31909.02</v>
      </c>
      <c r="C814">
        <v>154.1499</v>
      </c>
      <c r="D814">
        <v>207</v>
      </c>
    </row>
    <row r="815" spans="1:4" x14ac:dyDescent="0.35">
      <c r="A815" s="45" t="s">
        <v>113</v>
      </c>
      <c r="B815">
        <v>12671.07</v>
      </c>
      <c r="C815">
        <v>171.23070000000001</v>
      </c>
      <c r="D815">
        <v>74</v>
      </c>
    </row>
    <row r="816" spans="1:4" x14ac:dyDescent="0.35">
      <c r="A816" s="45" t="s">
        <v>93</v>
      </c>
      <c r="B816">
        <v>10140.290000000001</v>
      </c>
      <c r="C816">
        <v>146.9607</v>
      </c>
      <c r="D816">
        <v>69</v>
      </c>
    </row>
    <row r="817" spans="1:4" x14ac:dyDescent="0.35">
      <c r="A817" s="45" t="s">
        <v>114</v>
      </c>
      <c r="B817">
        <v>10850.58</v>
      </c>
      <c r="C817">
        <v>180.84299999999999</v>
      </c>
      <c r="D817">
        <v>60</v>
      </c>
    </row>
    <row r="818" spans="1:4" x14ac:dyDescent="0.35">
      <c r="A818" s="45" t="s">
        <v>85</v>
      </c>
      <c r="B818">
        <v>18995.830000000002</v>
      </c>
      <c r="C818">
        <v>153.19220000000001</v>
      </c>
      <c r="D818">
        <v>124</v>
      </c>
    </row>
    <row r="819" spans="1:4" x14ac:dyDescent="0.35">
      <c r="A819" s="45" t="s">
        <v>115</v>
      </c>
      <c r="B819">
        <v>6576.27</v>
      </c>
      <c r="C819">
        <v>146.13929999999999</v>
      </c>
      <c r="D819">
        <v>45</v>
      </c>
    </row>
    <row r="820" spans="1:4" x14ac:dyDescent="0.35">
      <c r="A820" s="45" t="s">
        <v>116</v>
      </c>
      <c r="B820">
        <v>7908.68</v>
      </c>
      <c r="C820">
        <v>109.8428</v>
      </c>
      <c r="D820">
        <v>72</v>
      </c>
    </row>
    <row r="821" spans="1:4" x14ac:dyDescent="0.35">
      <c r="A821" s="45" t="s">
        <v>117</v>
      </c>
      <c r="B821">
        <v>9887.7000000000007</v>
      </c>
      <c r="C821">
        <v>154.49529999999999</v>
      </c>
      <c r="D821">
        <v>64</v>
      </c>
    </row>
    <row r="822" spans="1:4" x14ac:dyDescent="0.35">
      <c r="A822" s="45" t="s">
        <v>104</v>
      </c>
      <c r="B822">
        <v>10259.51</v>
      </c>
      <c r="C822">
        <v>186.53649999999999</v>
      </c>
      <c r="D822">
        <v>55</v>
      </c>
    </row>
    <row r="823" spans="1:4" x14ac:dyDescent="0.35">
      <c r="A823" s="45" t="s">
        <v>102</v>
      </c>
      <c r="B823">
        <v>8512.84</v>
      </c>
      <c r="C823">
        <v>128.98240000000001</v>
      </c>
      <c r="D823">
        <v>66</v>
      </c>
    </row>
    <row r="824" spans="1:4" x14ac:dyDescent="0.35">
      <c r="A824" s="45" t="s">
        <v>118</v>
      </c>
      <c r="B824">
        <v>12103.49</v>
      </c>
      <c r="C824">
        <v>220.0635</v>
      </c>
      <c r="D824">
        <v>55</v>
      </c>
    </row>
    <row r="825" spans="1:4" x14ac:dyDescent="0.35">
      <c r="A825" s="45" t="s">
        <v>100</v>
      </c>
      <c r="B825">
        <v>12369.77</v>
      </c>
      <c r="C825">
        <v>174.22210000000001</v>
      </c>
      <c r="D825">
        <v>71</v>
      </c>
    </row>
    <row r="826" spans="1:4" x14ac:dyDescent="0.35">
      <c r="A826" s="45" t="s">
        <v>119</v>
      </c>
      <c r="B826">
        <v>8981.61</v>
      </c>
      <c r="C826">
        <v>142.5652</v>
      </c>
      <c r="D826">
        <v>63</v>
      </c>
    </row>
    <row r="827" spans="1:4" x14ac:dyDescent="0.35">
      <c r="A827" s="45" t="s">
        <v>108</v>
      </c>
      <c r="B827">
        <v>9410.99</v>
      </c>
      <c r="C827">
        <v>147.04669999999999</v>
      </c>
      <c r="D827">
        <v>64</v>
      </c>
    </row>
    <row r="828" spans="1:4" x14ac:dyDescent="0.35">
      <c r="A828" s="1" t="s">
        <v>51</v>
      </c>
      <c r="B828">
        <v>209591.63000000003</v>
      </c>
      <c r="C828">
        <v>2786.1414</v>
      </c>
      <c r="D828">
        <v>1339</v>
      </c>
    </row>
    <row r="829" spans="1:4" x14ac:dyDescent="0.35">
      <c r="A829" s="45" t="s">
        <v>89</v>
      </c>
      <c r="B829">
        <v>13447.4</v>
      </c>
      <c r="C829">
        <v>224.1233</v>
      </c>
      <c r="D829">
        <v>60</v>
      </c>
    </row>
    <row r="830" spans="1:4" x14ac:dyDescent="0.35">
      <c r="A830" s="45" t="s">
        <v>106</v>
      </c>
      <c r="B830">
        <v>8258.0400000000009</v>
      </c>
      <c r="C830">
        <v>147.465</v>
      </c>
      <c r="D830">
        <v>56</v>
      </c>
    </row>
    <row r="831" spans="1:4" x14ac:dyDescent="0.35">
      <c r="A831" s="45" t="s">
        <v>97</v>
      </c>
      <c r="B831">
        <v>14739.46</v>
      </c>
      <c r="C831">
        <v>223.3252</v>
      </c>
      <c r="D831">
        <v>66</v>
      </c>
    </row>
    <row r="832" spans="1:4" x14ac:dyDescent="0.35">
      <c r="A832" s="45" t="s">
        <v>112</v>
      </c>
      <c r="B832">
        <v>9660.58</v>
      </c>
      <c r="C832">
        <v>161.00970000000001</v>
      </c>
      <c r="D832">
        <v>60</v>
      </c>
    </row>
    <row r="833" spans="1:4" x14ac:dyDescent="0.35">
      <c r="A833" s="45" t="s">
        <v>81</v>
      </c>
      <c r="B833">
        <v>30378.2</v>
      </c>
      <c r="C833">
        <v>161.58619999999999</v>
      </c>
      <c r="D833">
        <v>188</v>
      </c>
    </row>
    <row r="834" spans="1:4" x14ac:dyDescent="0.35">
      <c r="A834" s="45" t="s">
        <v>113</v>
      </c>
      <c r="B834">
        <v>16731.900000000001</v>
      </c>
      <c r="C834">
        <v>242.4913</v>
      </c>
      <c r="D834">
        <v>69</v>
      </c>
    </row>
    <row r="835" spans="1:4" x14ac:dyDescent="0.35">
      <c r="A835" s="45" t="s">
        <v>93</v>
      </c>
      <c r="B835">
        <v>11988.03</v>
      </c>
      <c r="C835">
        <v>171.2576</v>
      </c>
      <c r="D835">
        <v>70</v>
      </c>
    </row>
    <row r="836" spans="1:4" x14ac:dyDescent="0.35">
      <c r="A836" s="45" t="s">
        <v>114</v>
      </c>
      <c r="B836">
        <v>4864.7700000000004</v>
      </c>
      <c r="C836">
        <v>83.875299999999996</v>
      </c>
      <c r="D836">
        <v>58</v>
      </c>
    </row>
    <row r="837" spans="1:4" x14ac:dyDescent="0.35">
      <c r="A837" s="45" t="s">
        <v>85</v>
      </c>
      <c r="B837">
        <v>16648.37</v>
      </c>
      <c r="C837">
        <v>151.34880000000001</v>
      </c>
      <c r="D837">
        <v>110</v>
      </c>
    </row>
    <row r="838" spans="1:4" x14ac:dyDescent="0.35">
      <c r="A838" s="45" t="s">
        <v>115</v>
      </c>
      <c r="B838">
        <v>8414.74</v>
      </c>
      <c r="C838">
        <v>135.7216</v>
      </c>
      <c r="D838">
        <v>62</v>
      </c>
    </row>
    <row r="839" spans="1:4" x14ac:dyDescent="0.35">
      <c r="A839" s="45" t="s">
        <v>116</v>
      </c>
      <c r="B839">
        <v>13192.13</v>
      </c>
      <c r="C839">
        <v>164.9016</v>
      </c>
      <c r="D839">
        <v>80</v>
      </c>
    </row>
    <row r="840" spans="1:4" x14ac:dyDescent="0.35">
      <c r="A840" s="45" t="s">
        <v>117</v>
      </c>
      <c r="B840">
        <v>11261.28</v>
      </c>
      <c r="C840">
        <v>170.62549999999999</v>
      </c>
      <c r="D840">
        <v>66</v>
      </c>
    </row>
    <row r="841" spans="1:4" x14ac:dyDescent="0.35">
      <c r="A841" s="45" t="s">
        <v>104</v>
      </c>
      <c r="B841">
        <v>7302.71</v>
      </c>
      <c r="C841">
        <v>105.8364</v>
      </c>
      <c r="D841">
        <v>69</v>
      </c>
    </row>
    <row r="842" spans="1:4" x14ac:dyDescent="0.35">
      <c r="A842" s="45" t="s">
        <v>102</v>
      </c>
      <c r="B842">
        <v>10394.17</v>
      </c>
      <c r="C842">
        <v>157.48740000000001</v>
      </c>
      <c r="D842">
        <v>66</v>
      </c>
    </row>
    <row r="843" spans="1:4" x14ac:dyDescent="0.35">
      <c r="A843" s="45" t="s">
        <v>118</v>
      </c>
      <c r="B843">
        <v>9771.0300000000007</v>
      </c>
      <c r="C843">
        <v>137.62010000000001</v>
      </c>
      <c r="D843">
        <v>71</v>
      </c>
    </row>
    <row r="844" spans="1:4" x14ac:dyDescent="0.35">
      <c r="A844" s="45" t="s">
        <v>100</v>
      </c>
      <c r="B844">
        <v>3710.25</v>
      </c>
      <c r="C844">
        <v>72.75</v>
      </c>
      <c r="D844">
        <v>51</v>
      </c>
    </row>
    <row r="845" spans="1:4" x14ac:dyDescent="0.35">
      <c r="A845" s="45" t="s">
        <v>119</v>
      </c>
      <c r="B845">
        <v>8626.59</v>
      </c>
      <c r="C845">
        <v>126.8616</v>
      </c>
      <c r="D845">
        <v>68</v>
      </c>
    </row>
    <row r="846" spans="1:4" x14ac:dyDescent="0.35">
      <c r="A846" s="45" t="s">
        <v>108</v>
      </c>
      <c r="B846">
        <v>10201.98</v>
      </c>
      <c r="C846">
        <v>147.85480000000001</v>
      </c>
      <c r="D846">
        <v>69</v>
      </c>
    </row>
    <row r="847" spans="1:4" x14ac:dyDescent="0.35">
      <c r="A847" s="1" t="s">
        <v>52</v>
      </c>
      <c r="B847">
        <v>196114.93999999997</v>
      </c>
      <c r="C847">
        <v>2686.2388999999998</v>
      </c>
      <c r="D847">
        <v>1304</v>
      </c>
    </row>
    <row r="848" spans="1:4" x14ac:dyDescent="0.35">
      <c r="A848" s="45" t="s">
        <v>89</v>
      </c>
      <c r="B848">
        <v>9286.1299999999992</v>
      </c>
      <c r="C848">
        <v>142.86349999999999</v>
      </c>
      <c r="D848">
        <v>65</v>
      </c>
    </row>
    <row r="849" spans="1:4" x14ac:dyDescent="0.35">
      <c r="A849" s="45" t="s">
        <v>106</v>
      </c>
      <c r="B849">
        <v>7840.68</v>
      </c>
      <c r="C849">
        <v>115.30410000000001</v>
      </c>
      <c r="D849">
        <v>68</v>
      </c>
    </row>
    <row r="850" spans="1:4" x14ac:dyDescent="0.35">
      <c r="A850" s="45" t="s">
        <v>97</v>
      </c>
      <c r="B850">
        <v>13698.19</v>
      </c>
      <c r="C850">
        <v>201.44399999999999</v>
      </c>
      <c r="D850">
        <v>68</v>
      </c>
    </row>
    <row r="851" spans="1:4" x14ac:dyDescent="0.35">
      <c r="A851" s="45" t="s">
        <v>112</v>
      </c>
      <c r="B851">
        <v>4856.59</v>
      </c>
      <c r="C851">
        <v>86.724800000000002</v>
      </c>
      <c r="D851">
        <v>56</v>
      </c>
    </row>
    <row r="852" spans="1:4" x14ac:dyDescent="0.35">
      <c r="A852" s="45" t="s">
        <v>81</v>
      </c>
      <c r="B852">
        <v>26624.75</v>
      </c>
      <c r="C852">
        <v>163.34200000000001</v>
      </c>
      <c r="D852">
        <v>163</v>
      </c>
    </row>
    <row r="853" spans="1:4" x14ac:dyDescent="0.35">
      <c r="A853" s="45" t="s">
        <v>113</v>
      </c>
      <c r="B853">
        <v>9570.9699999999993</v>
      </c>
      <c r="C853">
        <v>127.6129</v>
      </c>
      <c r="D853">
        <v>75</v>
      </c>
    </row>
    <row r="854" spans="1:4" x14ac:dyDescent="0.35">
      <c r="A854" s="45" t="s">
        <v>93</v>
      </c>
      <c r="B854">
        <v>10305.27</v>
      </c>
      <c r="C854">
        <v>149.35169999999999</v>
      </c>
      <c r="D854">
        <v>69</v>
      </c>
    </row>
    <row r="855" spans="1:4" x14ac:dyDescent="0.35">
      <c r="A855" s="45" t="s">
        <v>114</v>
      </c>
      <c r="B855">
        <v>12036.54</v>
      </c>
      <c r="C855">
        <v>182.37180000000001</v>
      </c>
      <c r="D855">
        <v>66</v>
      </c>
    </row>
    <row r="856" spans="1:4" x14ac:dyDescent="0.35">
      <c r="A856" s="45" t="s">
        <v>85</v>
      </c>
      <c r="B856">
        <v>20734.91</v>
      </c>
      <c r="C856">
        <v>158.2818</v>
      </c>
      <c r="D856">
        <v>131</v>
      </c>
    </row>
    <row r="857" spans="1:4" x14ac:dyDescent="0.35">
      <c r="A857" s="45" t="s">
        <v>115</v>
      </c>
      <c r="B857">
        <v>7813.95</v>
      </c>
      <c r="C857">
        <v>156.279</v>
      </c>
      <c r="D857">
        <v>50</v>
      </c>
    </row>
    <row r="858" spans="1:4" x14ac:dyDescent="0.35">
      <c r="A858" s="45" t="s">
        <v>116</v>
      </c>
      <c r="B858">
        <v>9413.8799999999992</v>
      </c>
      <c r="C858">
        <v>209.19730000000001</v>
      </c>
      <c r="D858">
        <v>45</v>
      </c>
    </row>
    <row r="859" spans="1:4" x14ac:dyDescent="0.35">
      <c r="A859" s="45" t="s">
        <v>117</v>
      </c>
      <c r="B859">
        <v>10958.75</v>
      </c>
      <c r="C859">
        <v>163.5634</v>
      </c>
      <c r="D859">
        <v>67</v>
      </c>
    </row>
    <row r="860" spans="1:4" x14ac:dyDescent="0.35">
      <c r="A860" s="45" t="s">
        <v>104</v>
      </c>
      <c r="B860">
        <v>12242.58</v>
      </c>
      <c r="C860">
        <v>185.49359999999999</v>
      </c>
      <c r="D860">
        <v>66</v>
      </c>
    </row>
    <row r="861" spans="1:4" x14ac:dyDescent="0.35">
      <c r="A861" s="45" t="s">
        <v>102</v>
      </c>
      <c r="B861">
        <v>7092.19</v>
      </c>
      <c r="C861">
        <v>136.38829999999999</v>
      </c>
      <c r="D861">
        <v>52</v>
      </c>
    </row>
    <row r="862" spans="1:4" x14ac:dyDescent="0.35">
      <c r="A862" s="45" t="s">
        <v>118</v>
      </c>
      <c r="B862">
        <v>8138.44</v>
      </c>
      <c r="C862">
        <v>121.4693</v>
      </c>
      <c r="D862">
        <v>67</v>
      </c>
    </row>
    <row r="863" spans="1:4" x14ac:dyDescent="0.35">
      <c r="A863" s="45" t="s">
        <v>100</v>
      </c>
      <c r="B863">
        <v>10323.91</v>
      </c>
      <c r="C863">
        <v>139.51230000000001</v>
      </c>
      <c r="D863">
        <v>74</v>
      </c>
    </row>
    <row r="864" spans="1:4" x14ac:dyDescent="0.35">
      <c r="A864" s="45" t="s">
        <v>119</v>
      </c>
      <c r="B864">
        <v>9479.9699999999993</v>
      </c>
      <c r="C864">
        <v>150.47569999999999</v>
      </c>
      <c r="D864">
        <v>63</v>
      </c>
    </row>
    <row r="865" spans="1:4" x14ac:dyDescent="0.35">
      <c r="A865" s="45" t="s">
        <v>108</v>
      </c>
      <c r="B865">
        <v>5697.24</v>
      </c>
      <c r="C865">
        <v>96.563400000000001</v>
      </c>
      <c r="D865">
        <v>59</v>
      </c>
    </row>
    <row r="866" spans="1:4" x14ac:dyDescent="0.35">
      <c r="A866" s="1" t="s">
        <v>53</v>
      </c>
      <c r="B866">
        <v>330762.82000000007</v>
      </c>
      <c r="C866">
        <v>2832.9050999999995</v>
      </c>
      <c r="D866">
        <v>2093</v>
      </c>
    </row>
    <row r="867" spans="1:4" x14ac:dyDescent="0.35">
      <c r="A867" s="45" t="s">
        <v>89</v>
      </c>
      <c r="B867">
        <v>16868.16</v>
      </c>
      <c r="C867">
        <v>175.71</v>
      </c>
      <c r="D867">
        <v>96</v>
      </c>
    </row>
    <row r="868" spans="1:4" x14ac:dyDescent="0.35">
      <c r="A868" s="45" t="s">
        <v>106</v>
      </c>
      <c r="B868">
        <v>16854.32</v>
      </c>
      <c r="C868">
        <v>137.02699999999999</v>
      </c>
      <c r="D868">
        <v>123</v>
      </c>
    </row>
    <row r="869" spans="1:4" x14ac:dyDescent="0.35">
      <c r="A869" s="45" t="s">
        <v>97</v>
      </c>
      <c r="B869">
        <v>13367.82</v>
      </c>
      <c r="C869">
        <v>150.2002</v>
      </c>
      <c r="D869">
        <v>89</v>
      </c>
    </row>
    <row r="870" spans="1:4" x14ac:dyDescent="0.35">
      <c r="A870" s="45" t="s">
        <v>112</v>
      </c>
      <c r="B870">
        <v>17370.62</v>
      </c>
      <c r="C870">
        <v>165.43450000000001</v>
      </c>
      <c r="D870">
        <v>105</v>
      </c>
    </row>
    <row r="871" spans="1:4" x14ac:dyDescent="0.35">
      <c r="A871" s="45" t="s">
        <v>81</v>
      </c>
      <c r="B871">
        <v>47434.75</v>
      </c>
      <c r="C871">
        <v>163.006</v>
      </c>
      <c r="D871">
        <v>291</v>
      </c>
    </row>
    <row r="872" spans="1:4" x14ac:dyDescent="0.35">
      <c r="A872" s="45" t="s">
        <v>113</v>
      </c>
      <c r="B872">
        <v>11967.82</v>
      </c>
      <c r="C872">
        <v>119.6782</v>
      </c>
      <c r="D872">
        <v>100</v>
      </c>
    </row>
    <row r="873" spans="1:4" x14ac:dyDescent="0.35">
      <c r="A873" s="45" t="s">
        <v>93</v>
      </c>
      <c r="B873">
        <v>19053.150000000001</v>
      </c>
      <c r="C873">
        <v>190.53149999999999</v>
      </c>
      <c r="D873">
        <v>100</v>
      </c>
    </row>
    <row r="874" spans="1:4" x14ac:dyDescent="0.35">
      <c r="A874" s="45" t="s">
        <v>114</v>
      </c>
      <c r="B874">
        <v>11509.36</v>
      </c>
      <c r="C874">
        <v>125.10169999999999</v>
      </c>
      <c r="D874">
        <v>92</v>
      </c>
    </row>
    <row r="875" spans="1:4" x14ac:dyDescent="0.35">
      <c r="A875" s="45" t="s">
        <v>85</v>
      </c>
      <c r="B875">
        <v>30881.41</v>
      </c>
      <c r="C875">
        <v>160.8407</v>
      </c>
      <c r="D875">
        <v>192</v>
      </c>
    </row>
    <row r="876" spans="1:4" x14ac:dyDescent="0.35">
      <c r="A876" s="45" t="s">
        <v>115</v>
      </c>
      <c r="B876">
        <v>14369.16</v>
      </c>
      <c r="C876">
        <v>142.2689</v>
      </c>
      <c r="D876">
        <v>101</v>
      </c>
    </row>
    <row r="877" spans="1:4" x14ac:dyDescent="0.35">
      <c r="A877" s="45" t="s">
        <v>116</v>
      </c>
      <c r="B877">
        <v>21562.22</v>
      </c>
      <c r="C877">
        <v>199.65020000000001</v>
      </c>
      <c r="D877">
        <v>108</v>
      </c>
    </row>
    <row r="878" spans="1:4" x14ac:dyDescent="0.35">
      <c r="A878" s="45" t="s">
        <v>117</v>
      </c>
      <c r="B878">
        <v>18854.169999999998</v>
      </c>
      <c r="C878">
        <v>183.05019999999999</v>
      </c>
      <c r="D878">
        <v>103</v>
      </c>
    </row>
    <row r="879" spans="1:4" x14ac:dyDescent="0.35">
      <c r="A879" s="45" t="s">
        <v>104</v>
      </c>
      <c r="B879">
        <v>15022.92</v>
      </c>
      <c r="C879">
        <v>140.40110000000001</v>
      </c>
      <c r="D879">
        <v>107</v>
      </c>
    </row>
    <row r="880" spans="1:4" x14ac:dyDescent="0.35">
      <c r="A880" s="45" t="s">
        <v>102</v>
      </c>
      <c r="B880">
        <v>13934.03</v>
      </c>
      <c r="C880">
        <v>148.23439999999999</v>
      </c>
      <c r="D880">
        <v>94</v>
      </c>
    </row>
    <row r="881" spans="1:4" x14ac:dyDescent="0.35">
      <c r="A881" s="45" t="s">
        <v>118</v>
      </c>
      <c r="B881">
        <v>14255.53</v>
      </c>
      <c r="C881">
        <v>142.55529999999999</v>
      </c>
      <c r="D881">
        <v>100</v>
      </c>
    </row>
    <row r="882" spans="1:4" x14ac:dyDescent="0.35">
      <c r="A882" s="45" t="s">
        <v>100</v>
      </c>
      <c r="B882">
        <v>17532.490000000002</v>
      </c>
      <c r="C882">
        <v>188.5214</v>
      </c>
      <c r="D882">
        <v>93</v>
      </c>
    </row>
    <row r="883" spans="1:4" x14ac:dyDescent="0.35">
      <c r="A883" s="45" t="s">
        <v>119</v>
      </c>
      <c r="B883">
        <v>15620.15</v>
      </c>
      <c r="C883">
        <v>156.20150000000001</v>
      </c>
      <c r="D883">
        <v>100</v>
      </c>
    </row>
    <row r="884" spans="1:4" x14ac:dyDescent="0.35">
      <c r="A884" s="45" t="s">
        <v>108</v>
      </c>
      <c r="B884">
        <v>14304.74</v>
      </c>
      <c r="C884">
        <v>144.4923</v>
      </c>
      <c r="D884">
        <v>99</v>
      </c>
    </row>
    <row r="885" spans="1:4" x14ac:dyDescent="0.35">
      <c r="A885" s="1" t="s">
        <v>54</v>
      </c>
      <c r="B885">
        <v>220240.73000000007</v>
      </c>
      <c r="C885">
        <v>2805.8425000000002</v>
      </c>
      <c r="D885">
        <v>1400</v>
      </c>
    </row>
    <row r="886" spans="1:4" x14ac:dyDescent="0.35">
      <c r="A886" s="45" t="s">
        <v>89</v>
      </c>
      <c r="B886">
        <v>11956.57</v>
      </c>
      <c r="C886">
        <v>189.7868</v>
      </c>
      <c r="D886">
        <v>63</v>
      </c>
    </row>
    <row r="887" spans="1:4" x14ac:dyDescent="0.35">
      <c r="A887" s="45" t="s">
        <v>106</v>
      </c>
      <c r="B887">
        <v>7225.77</v>
      </c>
      <c r="C887">
        <v>138.9571</v>
      </c>
      <c r="D887">
        <v>52</v>
      </c>
    </row>
    <row r="888" spans="1:4" x14ac:dyDescent="0.35">
      <c r="A888" s="45" t="s">
        <v>97</v>
      </c>
      <c r="B888">
        <v>9711.7199999999993</v>
      </c>
      <c r="C888">
        <v>118.43559999999999</v>
      </c>
      <c r="D888">
        <v>82</v>
      </c>
    </row>
    <row r="889" spans="1:4" x14ac:dyDescent="0.35">
      <c r="A889" s="45" t="s">
        <v>112</v>
      </c>
      <c r="B889">
        <v>11927</v>
      </c>
      <c r="C889">
        <v>147.24690000000001</v>
      </c>
      <c r="D889">
        <v>81</v>
      </c>
    </row>
    <row r="890" spans="1:4" x14ac:dyDescent="0.35">
      <c r="A890" s="45" t="s">
        <v>81</v>
      </c>
      <c r="B890">
        <v>32879.31</v>
      </c>
      <c r="C890">
        <v>173.96459999999999</v>
      </c>
      <c r="D890">
        <v>189</v>
      </c>
    </row>
    <row r="891" spans="1:4" x14ac:dyDescent="0.35">
      <c r="A891" s="45" t="s">
        <v>113</v>
      </c>
      <c r="B891">
        <v>12515.97</v>
      </c>
      <c r="C891">
        <v>192.55340000000001</v>
      </c>
      <c r="D891">
        <v>65</v>
      </c>
    </row>
    <row r="892" spans="1:4" x14ac:dyDescent="0.35">
      <c r="A892" s="45" t="s">
        <v>93</v>
      </c>
      <c r="B892">
        <v>9160.11</v>
      </c>
      <c r="C892">
        <v>122.1348</v>
      </c>
      <c r="D892">
        <v>75</v>
      </c>
    </row>
    <row r="893" spans="1:4" x14ac:dyDescent="0.35">
      <c r="A893" s="45" t="s">
        <v>114</v>
      </c>
      <c r="B893">
        <v>11054.13</v>
      </c>
      <c r="C893">
        <v>175.4624</v>
      </c>
      <c r="D893">
        <v>63</v>
      </c>
    </row>
    <row r="894" spans="1:4" x14ac:dyDescent="0.35">
      <c r="A894" s="45" t="s">
        <v>85</v>
      </c>
      <c r="B894">
        <v>22069.56</v>
      </c>
      <c r="C894">
        <v>171.08189999999999</v>
      </c>
      <c r="D894">
        <v>129</v>
      </c>
    </row>
    <row r="895" spans="1:4" x14ac:dyDescent="0.35">
      <c r="A895" s="45" t="s">
        <v>115</v>
      </c>
      <c r="B895">
        <v>6638.12</v>
      </c>
      <c r="C895">
        <v>127.6562</v>
      </c>
      <c r="D895">
        <v>52</v>
      </c>
    </row>
    <row r="896" spans="1:4" x14ac:dyDescent="0.35">
      <c r="A896" s="45" t="s">
        <v>116</v>
      </c>
      <c r="B896">
        <v>14734.17</v>
      </c>
      <c r="C896">
        <v>173.3432</v>
      </c>
      <c r="D896">
        <v>85</v>
      </c>
    </row>
    <row r="897" spans="1:4" x14ac:dyDescent="0.35">
      <c r="A897" s="45" t="s">
        <v>117</v>
      </c>
      <c r="B897">
        <v>10589.84</v>
      </c>
      <c r="C897">
        <v>196.10810000000001</v>
      </c>
      <c r="D897">
        <v>54</v>
      </c>
    </row>
    <row r="898" spans="1:4" x14ac:dyDescent="0.35">
      <c r="A898" s="45" t="s">
        <v>104</v>
      </c>
      <c r="B898">
        <v>9106.48</v>
      </c>
      <c r="C898">
        <v>140.09970000000001</v>
      </c>
      <c r="D898">
        <v>65</v>
      </c>
    </row>
    <row r="899" spans="1:4" x14ac:dyDescent="0.35">
      <c r="A899" s="45" t="s">
        <v>102</v>
      </c>
      <c r="B899">
        <v>9806.16</v>
      </c>
      <c r="C899">
        <v>158.16390000000001</v>
      </c>
      <c r="D899">
        <v>62</v>
      </c>
    </row>
    <row r="900" spans="1:4" x14ac:dyDescent="0.35">
      <c r="A900" s="45" t="s">
        <v>118</v>
      </c>
      <c r="B900">
        <v>10906.35</v>
      </c>
      <c r="C900">
        <v>170.4117</v>
      </c>
      <c r="D900">
        <v>64</v>
      </c>
    </row>
    <row r="901" spans="1:4" x14ac:dyDescent="0.35">
      <c r="A901" s="45" t="s">
        <v>100</v>
      </c>
      <c r="B901">
        <v>11222.2</v>
      </c>
      <c r="C901">
        <v>155.8639</v>
      </c>
      <c r="D901">
        <v>72</v>
      </c>
    </row>
    <row r="902" spans="1:4" x14ac:dyDescent="0.35">
      <c r="A902" s="45" t="s">
        <v>119</v>
      </c>
      <c r="B902">
        <v>11358.82</v>
      </c>
      <c r="C902">
        <v>153.49760000000001</v>
      </c>
      <c r="D902">
        <v>74</v>
      </c>
    </row>
    <row r="903" spans="1:4" x14ac:dyDescent="0.35">
      <c r="A903" s="45" t="s">
        <v>108</v>
      </c>
      <c r="B903">
        <v>7378.45</v>
      </c>
      <c r="C903">
        <v>101.07470000000001</v>
      </c>
      <c r="D903">
        <v>73</v>
      </c>
    </row>
    <row r="904" spans="1:4" x14ac:dyDescent="0.35">
      <c r="A904" s="1" t="s">
        <v>55</v>
      </c>
      <c r="B904">
        <v>208271.75</v>
      </c>
      <c r="C904">
        <v>2558.3095000000003</v>
      </c>
      <c r="D904">
        <v>1461</v>
      </c>
    </row>
    <row r="905" spans="1:4" x14ac:dyDescent="0.35">
      <c r="A905" s="45" t="s">
        <v>89</v>
      </c>
      <c r="B905">
        <v>13366.63</v>
      </c>
      <c r="C905">
        <v>169.1978</v>
      </c>
      <c r="D905">
        <v>79</v>
      </c>
    </row>
    <row r="906" spans="1:4" x14ac:dyDescent="0.35">
      <c r="A906" s="45" t="s">
        <v>106</v>
      </c>
      <c r="B906">
        <v>6633.38</v>
      </c>
      <c r="C906">
        <v>116.3751</v>
      </c>
      <c r="D906">
        <v>57</v>
      </c>
    </row>
    <row r="907" spans="1:4" x14ac:dyDescent="0.35">
      <c r="A907" s="45" t="s">
        <v>97</v>
      </c>
      <c r="B907">
        <v>9389.49</v>
      </c>
      <c r="C907">
        <v>149.0395</v>
      </c>
      <c r="D907">
        <v>63</v>
      </c>
    </row>
    <row r="908" spans="1:4" x14ac:dyDescent="0.35">
      <c r="A908" s="45" t="s">
        <v>112</v>
      </c>
      <c r="B908">
        <v>12250.19</v>
      </c>
      <c r="C908">
        <v>185.60890000000001</v>
      </c>
      <c r="D908">
        <v>66</v>
      </c>
    </row>
    <row r="909" spans="1:4" x14ac:dyDescent="0.35">
      <c r="A909" s="45" t="s">
        <v>81</v>
      </c>
      <c r="B909">
        <v>31561.42</v>
      </c>
      <c r="C909">
        <v>146.11770000000001</v>
      </c>
      <c r="D909">
        <v>216</v>
      </c>
    </row>
    <row r="910" spans="1:4" x14ac:dyDescent="0.35">
      <c r="A910" s="45" t="s">
        <v>113</v>
      </c>
      <c r="B910">
        <v>8750.4699999999993</v>
      </c>
      <c r="C910">
        <v>128.68340000000001</v>
      </c>
      <c r="D910">
        <v>68</v>
      </c>
    </row>
    <row r="911" spans="1:4" x14ac:dyDescent="0.35">
      <c r="A911" s="45" t="s">
        <v>93</v>
      </c>
      <c r="B911">
        <v>11576.71</v>
      </c>
      <c r="C911">
        <v>158.58510000000001</v>
      </c>
      <c r="D911">
        <v>73</v>
      </c>
    </row>
    <row r="912" spans="1:4" x14ac:dyDescent="0.35">
      <c r="A912" s="45" t="s">
        <v>114</v>
      </c>
      <c r="B912">
        <v>12221.92</v>
      </c>
      <c r="C912">
        <v>149.0478</v>
      </c>
      <c r="D912">
        <v>82</v>
      </c>
    </row>
    <row r="913" spans="1:4" x14ac:dyDescent="0.35">
      <c r="A913" s="45" t="s">
        <v>85</v>
      </c>
      <c r="B913">
        <v>15496.7</v>
      </c>
      <c r="C913">
        <v>125.9894</v>
      </c>
      <c r="D913">
        <v>123</v>
      </c>
    </row>
    <row r="914" spans="1:4" x14ac:dyDescent="0.35">
      <c r="A914" s="45" t="s">
        <v>115</v>
      </c>
      <c r="B914">
        <v>11200.11</v>
      </c>
      <c r="C914">
        <v>138.273</v>
      </c>
      <c r="D914">
        <v>81</v>
      </c>
    </row>
    <row r="915" spans="1:4" x14ac:dyDescent="0.35">
      <c r="A915" s="45" t="s">
        <v>116</v>
      </c>
      <c r="B915">
        <v>7857.97</v>
      </c>
      <c r="C915">
        <v>115.55840000000001</v>
      </c>
      <c r="D915">
        <v>68</v>
      </c>
    </row>
    <row r="916" spans="1:4" x14ac:dyDescent="0.35">
      <c r="A916" s="45" t="s">
        <v>117</v>
      </c>
      <c r="B916">
        <v>10486.3</v>
      </c>
      <c r="C916">
        <v>127.8817</v>
      </c>
      <c r="D916">
        <v>82</v>
      </c>
    </row>
    <row r="917" spans="1:4" x14ac:dyDescent="0.35">
      <c r="A917" s="45" t="s">
        <v>104</v>
      </c>
      <c r="B917">
        <v>6256.93</v>
      </c>
      <c r="C917">
        <v>86.901799999999994</v>
      </c>
      <c r="D917">
        <v>72</v>
      </c>
    </row>
    <row r="918" spans="1:4" x14ac:dyDescent="0.35">
      <c r="A918" s="45" t="s">
        <v>102</v>
      </c>
      <c r="B918">
        <v>6466.38</v>
      </c>
      <c r="C918">
        <v>106.00620000000001</v>
      </c>
      <c r="D918">
        <v>61</v>
      </c>
    </row>
    <row r="919" spans="1:4" x14ac:dyDescent="0.35">
      <c r="A919" s="45" t="s">
        <v>118</v>
      </c>
      <c r="B919">
        <v>11049.33</v>
      </c>
      <c r="C919">
        <v>184.15549999999999</v>
      </c>
      <c r="D919">
        <v>60</v>
      </c>
    </row>
    <row r="920" spans="1:4" x14ac:dyDescent="0.35">
      <c r="A920" s="45" t="s">
        <v>100</v>
      </c>
      <c r="B920">
        <v>14360.04</v>
      </c>
      <c r="C920">
        <v>188.9479</v>
      </c>
      <c r="D920">
        <v>76</v>
      </c>
    </row>
    <row r="921" spans="1:4" x14ac:dyDescent="0.35">
      <c r="A921" s="45" t="s">
        <v>119</v>
      </c>
      <c r="B921">
        <v>12646.59</v>
      </c>
      <c r="C921">
        <v>166.4025</v>
      </c>
      <c r="D921">
        <v>76</v>
      </c>
    </row>
    <row r="922" spans="1:4" x14ac:dyDescent="0.35">
      <c r="A922" s="45" t="s">
        <v>108</v>
      </c>
      <c r="B922">
        <v>6701.19</v>
      </c>
      <c r="C922">
        <v>115.5378</v>
      </c>
      <c r="D922">
        <v>58</v>
      </c>
    </row>
    <row r="923" spans="1:4" x14ac:dyDescent="0.35">
      <c r="A923" s="1" t="s">
        <v>56</v>
      </c>
      <c r="B923">
        <v>6412632.2200000016</v>
      </c>
      <c r="C923">
        <v>120942.27819999983</v>
      </c>
      <c r="D923">
        <v>46498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2303-AF53-4E44-B1F1-BD90AEFBCA20}">
  <dimension ref="A1:J14"/>
  <sheetViews>
    <sheetView topLeftCell="A6" workbookViewId="0">
      <selection sqref="A1:J1"/>
    </sheetView>
  </sheetViews>
  <sheetFormatPr defaultRowHeight="14.5" x14ac:dyDescent="0.35"/>
  <cols>
    <col min="1" max="1" width="12.453125" bestFit="1" customWidth="1"/>
    <col min="2" max="2" width="13.54296875" bestFit="1" customWidth="1"/>
    <col min="3" max="3" width="17.7265625" bestFit="1" customWidth="1"/>
    <col min="4" max="4" width="12" bestFit="1" customWidth="1"/>
    <col min="5" max="5" width="15.6328125" bestFit="1" customWidth="1"/>
    <col min="6" max="6" width="16.54296875" bestFit="1" customWidth="1"/>
    <col min="7" max="7" width="15.54296875" bestFit="1" customWidth="1"/>
    <col min="8" max="8" width="13.81640625" customWidth="1"/>
    <col min="9" max="9" width="15.54296875" bestFit="1" customWidth="1"/>
    <col min="10" max="10" width="16.36328125" customWidth="1"/>
  </cols>
  <sheetData>
    <row r="1" spans="1:10" ht="15" thickBot="1" x14ac:dyDescent="0.4">
      <c r="A1" s="33" t="s">
        <v>57</v>
      </c>
      <c r="B1" s="33" t="s">
        <v>65</v>
      </c>
      <c r="C1" s="33" t="s">
        <v>60</v>
      </c>
      <c r="D1" s="33" t="s">
        <v>61</v>
      </c>
      <c r="E1" s="33" t="s">
        <v>62</v>
      </c>
      <c r="F1" s="33" t="s">
        <v>63</v>
      </c>
      <c r="G1" s="33" t="s">
        <v>64</v>
      </c>
      <c r="H1" s="34" t="s">
        <v>58</v>
      </c>
      <c r="I1" s="35" t="s">
        <v>59</v>
      </c>
      <c r="J1" s="35" t="s">
        <v>1</v>
      </c>
    </row>
    <row r="2" spans="1:10" x14ac:dyDescent="0.35">
      <c r="A2" s="1" t="s">
        <v>8</v>
      </c>
      <c r="B2">
        <v>3632.4</v>
      </c>
      <c r="C2">
        <v>2283.52</v>
      </c>
      <c r="D2">
        <v>959.78</v>
      </c>
      <c r="E2">
        <v>1229.6600000000001</v>
      </c>
      <c r="F2">
        <v>51086.31</v>
      </c>
      <c r="G2">
        <v>18759.310000000001</v>
      </c>
      <c r="H2" s="22">
        <v>578</v>
      </c>
      <c r="I2" s="18">
        <v>77950.98</v>
      </c>
      <c r="J2" s="18">
        <v>134.86330000000001</v>
      </c>
    </row>
    <row r="3" spans="1:10" x14ac:dyDescent="0.35">
      <c r="A3" s="1" t="s">
        <v>9</v>
      </c>
      <c r="B3">
        <v>2199.75</v>
      </c>
      <c r="C3">
        <v>3224.79</v>
      </c>
      <c r="D3">
        <v>1244.9100000000001</v>
      </c>
      <c r="E3">
        <v>1028.28</v>
      </c>
      <c r="F3">
        <v>55437.16</v>
      </c>
      <c r="G3">
        <v>17180.8</v>
      </c>
      <c r="H3" s="23">
        <v>570</v>
      </c>
      <c r="I3" s="19">
        <v>80315.69</v>
      </c>
      <c r="J3" s="19">
        <v>140.90469999999999</v>
      </c>
    </row>
    <row r="4" spans="1:10" x14ac:dyDescent="0.35">
      <c r="A4" s="1" t="s">
        <v>10</v>
      </c>
      <c r="B4">
        <v>3133.64</v>
      </c>
      <c r="C4">
        <v>2619.12</v>
      </c>
      <c r="D4">
        <v>1201.73</v>
      </c>
      <c r="E4">
        <v>1029.43</v>
      </c>
      <c r="F4">
        <v>59450.9</v>
      </c>
      <c r="G4">
        <v>15081.54</v>
      </c>
      <c r="H4" s="24">
        <v>553</v>
      </c>
      <c r="I4" s="20">
        <v>82516.36</v>
      </c>
      <c r="J4" s="20">
        <v>149.2158</v>
      </c>
    </row>
    <row r="5" spans="1:10" x14ac:dyDescent="0.35">
      <c r="A5" s="1" t="s">
        <v>11</v>
      </c>
      <c r="B5">
        <v>3189.07</v>
      </c>
      <c r="C5">
        <v>1931.28</v>
      </c>
      <c r="D5">
        <v>1121.48</v>
      </c>
      <c r="E5">
        <v>1069.98</v>
      </c>
      <c r="F5">
        <v>61067.94</v>
      </c>
      <c r="G5">
        <v>20970.560000000001</v>
      </c>
      <c r="H5" s="23">
        <v>571</v>
      </c>
      <c r="I5" s="19">
        <v>89350.31</v>
      </c>
      <c r="J5" s="19">
        <v>156.4804</v>
      </c>
    </row>
    <row r="6" spans="1:10" x14ac:dyDescent="0.35">
      <c r="A6" s="1" t="s">
        <v>12</v>
      </c>
      <c r="B6">
        <v>3132.81</v>
      </c>
      <c r="C6">
        <v>3007</v>
      </c>
      <c r="D6">
        <v>734.89</v>
      </c>
      <c r="E6">
        <v>1101.3</v>
      </c>
      <c r="F6">
        <v>63897.67</v>
      </c>
      <c r="G6">
        <v>23019.22</v>
      </c>
      <c r="H6" s="24">
        <v>610</v>
      </c>
      <c r="I6" s="20">
        <v>94892.89</v>
      </c>
      <c r="J6" s="20">
        <v>155.56209999999999</v>
      </c>
    </row>
    <row r="7" spans="1:10" x14ac:dyDescent="0.35">
      <c r="A7" s="1" t="s">
        <v>13</v>
      </c>
      <c r="B7">
        <v>2927.67</v>
      </c>
      <c r="C7">
        <v>1726.3</v>
      </c>
      <c r="D7">
        <v>1230.96</v>
      </c>
      <c r="E7">
        <v>1077.8900000000001</v>
      </c>
      <c r="F7">
        <v>62870.8</v>
      </c>
      <c r="G7">
        <v>17014.080000000002</v>
      </c>
      <c r="H7" s="23">
        <v>543</v>
      </c>
      <c r="I7" s="19">
        <v>86847.7</v>
      </c>
      <c r="J7" s="19">
        <v>159.94049999999999</v>
      </c>
    </row>
    <row r="8" spans="1:10" x14ac:dyDescent="0.35">
      <c r="A8" s="1" t="s">
        <v>14</v>
      </c>
      <c r="B8">
        <v>2881.63</v>
      </c>
      <c r="C8">
        <v>2879.83</v>
      </c>
      <c r="D8">
        <v>1250.28</v>
      </c>
      <c r="E8">
        <v>1076.22</v>
      </c>
      <c r="F8">
        <v>65916.14</v>
      </c>
      <c r="G8">
        <v>20044.39</v>
      </c>
      <c r="H8" s="24">
        <v>600</v>
      </c>
      <c r="I8" s="20">
        <v>94048.49</v>
      </c>
      <c r="J8" s="20">
        <v>156.7475</v>
      </c>
    </row>
    <row r="9" spans="1:10" x14ac:dyDescent="0.35">
      <c r="A9" s="1" t="s">
        <v>15</v>
      </c>
      <c r="B9">
        <v>3582.97</v>
      </c>
      <c r="C9">
        <v>2447.0100000000002</v>
      </c>
      <c r="D9">
        <v>1111.02</v>
      </c>
      <c r="E9">
        <v>1159.4100000000001</v>
      </c>
      <c r="F9">
        <v>60144.88</v>
      </c>
      <c r="G9">
        <v>18613.07</v>
      </c>
      <c r="H9" s="23">
        <v>573</v>
      </c>
      <c r="I9" s="19">
        <v>87058.36</v>
      </c>
      <c r="J9" s="19">
        <v>151.93430000000001</v>
      </c>
    </row>
    <row r="10" spans="1:10" x14ac:dyDescent="0.35">
      <c r="A10" s="1" t="s">
        <v>16</v>
      </c>
      <c r="B10">
        <v>2942.9</v>
      </c>
      <c r="C10">
        <v>2788.04</v>
      </c>
      <c r="D10">
        <v>1645.85</v>
      </c>
      <c r="E10">
        <v>1087.8699999999999</v>
      </c>
      <c r="F10">
        <v>56611.33</v>
      </c>
      <c r="G10">
        <v>19130.099999999999</v>
      </c>
      <c r="H10" s="24">
        <v>586</v>
      </c>
      <c r="I10" s="20">
        <v>84206.09</v>
      </c>
      <c r="J10" s="20">
        <v>143.69640000000001</v>
      </c>
    </row>
    <row r="11" spans="1:10" x14ac:dyDescent="0.35">
      <c r="A11" s="1" t="s">
        <v>17</v>
      </c>
      <c r="B11">
        <v>3229.48</v>
      </c>
      <c r="C11">
        <v>2784.17</v>
      </c>
      <c r="D11">
        <v>1708.09</v>
      </c>
      <c r="E11">
        <v>1106.5</v>
      </c>
      <c r="F11">
        <v>48459.92</v>
      </c>
      <c r="G11">
        <v>21418.799999999999</v>
      </c>
      <c r="H11" s="23">
        <v>613</v>
      </c>
      <c r="I11" s="19">
        <v>78706.960000000006</v>
      </c>
      <c r="J11" s="19">
        <v>128.3963</v>
      </c>
    </row>
    <row r="12" spans="1:10" x14ac:dyDescent="0.35">
      <c r="A12" s="1" t="s">
        <v>18</v>
      </c>
      <c r="B12">
        <v>2541.9699999999998</v>
      </c>
      <c r="C12">
        <v>2190.59</v>
      </c>
      <c r="D12">
        <v>1407.12</v>
      </c>
      <c r="E12">
        <v>842.55</v>
      </c>
      <c r="F12">
        <v>48103.42</v>
      </c>
      <c r="G12">
        <v>21834.41</v>
      </c>
      <c r="H12" s="24">
        <v>523</v>
      </c>
      <c r="I12" s="20">
        <v>76920.06</v>
      </c>
      <c r="J12" s="20">
        <v>147.07470000000001</v>
      </c>
    </row>
    <row r="13" spans="1:10" ht="15" thickBot="1" x14ac:dyDescent="0.4">
      <c r="A13" s="1" t="s">
        <v>19</v>
      </c>
      <c r="B13">
        <v>3636.6</v>
      </c>
      <c r="C13">
        <v>2424.7199999999998</v>
      </c>
      <c r="D13">
        <v>1514.89</v>
      </c>
      <c r="E13">
        <v>1220.0899999999999</v>
      </c>
      <c r="F13">
        <v>52331.32</v>
      </c>
      <c r="G13">
        <v>17414.009999999998</v>
      </c>
      <c r="H13" s="25">
        <v>584</v>
      </c>
      <c r="I13" s="21">
        <v>78541.63</v>
      </c>
      <c r="J13" s="21">
        <v>134.48910000000001</v>
      </c>
    </row>
    <row r="14" spans="1:10" x14ac:dyDescent="0.35">
      <c r="A14" s="31" t="s">
        <v>56</v>
      </c>
      <c r="B14" s="33">
        <v>37030.89</v>
      </c>
      <c r="C14" s="33">
        <v>30306.37</v>
      </c>
      <c r="D14" s="33">
        <v>15131</v>
      </c>
      <c r="E14" s="33">
        <v>13029.18</v>
      </c>
      <c r="F14" s="33">
        <v>685377.79</v>
      </c>
      <c r="G14" s="33">
        <v>230480.29000000004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DB03-3A45-439E-9198-7B94F7FFDD98}">
  <dimension ref="A1:J14"/>
  <sheetViews>
    <sheetView workbookViewId="0">
      <selection sqref="A1:J1"/>
    </sheetView>
  </sheetViews>
  <sheetFormatPr defaultColWidth="13.36328125" defaultRowHeight="14.5" x14ac:dyDescent="0.35"/>
  <cols>
    <col min="10" max="10" width="15.7265625" customWidth="1"/>
  </cols>
  <sheetData>
    <row r="1" spans="1:10" ht="15" thickBot="1" x14ac:dyDescent="0.4">
      <c r="A1" s="33" t="s">
        <v>57</v>
      </c>
      <c r="B1" s="33" t="s">
        <v>65</v>
      </c>
      <c r="C1" s="33" t="s">
        <v>60</v>
      </c>
      <c r="D1" s="33" t="s">
        <v>61</v>
      </c>
      <c r="E1" s="33" t="s">
        <v>62</v>
      </c>
      <c r="F1" s="33" t="s">
        <v>63</v>
      </c>
      <c r="G1" s="33" t="s">
        <v>64</v>
      </c>
      <c r="H1" s="36" t="s">
        <v>58</v>
      </c>
      <c r="I1" s="36" t="s">
        <v>59</v>
      </c>
      <c r="J1" s="36" t="s">
        <v>1</v>
      </c>
    </row>
    <row r="2" spans="1:10" x14ac:dyDescent="0.35">
      <c r="A2" s="1" t="s">
        <v>20</v>
      </c>
      <c r="B2">
        <v>5488.06</v>
      </c>
      <c r="C2">
        <v>3347.87</v>
      </c>
      <c r="D2">
        <v>2102.9</v>
      </c>
      <c r="E2">
        <v>1840.79</v>
      </c>
      <c r="F2">
        <v>96270.720000000001</v>
      </c>
      <c r="G2">
        <v>18047.349999999999</v>
      </c>
      <c r="H2" s="22">
        <v>855</v>
      </c>
      <c r="I2" s="22">
        <v>127097.69</v>
      </c>
      <c r="J2" s="18">
        <v>148.6523</v>
      </c>
    </row>
    <row r="3" spans="1:10" x14ac:dyDescent="0.35">
      <c r="A3" s="1" t="s">
        <v>21</v>
      </c>
      <c r="B3">
        <v>5924</v>
      </c>
      <c r="C3">
        <v>4884.8500000000004</v>
      </c>
      <c r="D3">
        <v>1325.86</v>
      </c>
      <c r="E3">
        <v>1953.7</v>
      </c>
      <c r="F3">
        <v>85240.05</v>
      </c>
      <c r="G3">
        <v>18836.990000000002</v>
      </c>
      <c r="H3" s="23">
        <v>862</v>
      </c>
      <c r="I3" s="23">
        <v>118165.45</v>
      </c>
      <c r="J3" s="19">
        <v>137.0829</v>
      </c>
    </row>
    <row r="4" spans="1:10" x14ac:dyDescent="0.35">
      <c r="A4" s="1" t="s">
        <v>22</v>
      </c>
      <c r="B4">
        <v>5457.45</v>
      </c>
      <c r="C4">
        <v>3936.12</v>
      </c>
      <c r="D4">
        <v>1915.66</v>
      </c>
      <c r="E4">
        <v>1852.99</v>
      </c>
      <c r="F4">
        <v>80893.27</v>
      </c>
      <c r="G4">
        <v>19280.61</v>
      </c>
      <c r="H4" s="24">
        <v>828</v>
      </c>
      <c r="I4" s="24">
        <v>113336.1</v>
      </c>
      <c r="J4" s="20">
        <v>136.8793</v>
      </c>
    </row>
    <row r="5" spans="1:10" x14ac:dyDescent="0.35">
      <c r="A5" s="1" t="s">
        <v>23</v>
      </c>
      <c r="B5">
        <v>6244.63</v>
      </c>
      <c r="C5">
        <v>5120.7700000000004</v>
      </c>
      <c r="D5">
        <v>2503.3200000000002</v>
      </c>
      <c r="E5">
        <v>2176.7399999999998</v>
      </c>
      <c r="F5">
        <v>95946.71</v>
      </c>
      <c r="G5">
        <v>19843.16</v>
      </c>
      <c r="H5" s="23">
        <v>959</v>
      </c>
      <c r="I5" s="23">
        <v>131835.32999999999</v>
      </c>
      <c r="J5" s="19">
        <v>137.4717</v>
      </c>
    </row>
    <row r="6" spans="1:10" x14ac:dyDescent="0.35">
      <c r="A6" s="1" t="s">
        <v>24</v>
      </c>
      <c r="B6">
        <v>5369.74</v>
      </c>
      <c r="C6">
        <v>4624.12</v>
      </c>
      <c r="D6">
        <v>2034.94</v>
      </c>
      <c r="E6">
        <v>1628.7</v>
      </c>
      <c r="F6">
        <v>92938.97</v>
      </c>
      <c r="G6">
        <v>19604.830000000002</v>
      </c>
      <c r="H6" s="24">
        <v>849</v>
      </c>
      <c r="I6" s="24">
        <v>126201.3</v>
      </c>
      <c r="J6" s="20">
        <v>148.64699999999999</v>
      </c>
    </row>
    <row r="7" spans="1:10" x14ac:dyDescent="0.35">
      <c r="A7" s="1" t="s">
        <v>25</v>
      </c>
      <c r="B7">
        <v>5570.79</v>
      </c>
      <c r="C7">
        <v>3907.66</v>
      </c>
      <c r="D7">
        <v>2107.58</v>
      </c>
      <c r="E7">
        <v>1598.18</v>
      </c>
      <c r="F7">
        <v>75351.12</v>
      </c>
      <c r="G7">
        <v>22210.37</v>
      </c>
      <c r="H7" s="23">
        <v>841</v>
      </c>
      <c r="I7" s="23">
        <v>110745.7</v>
      </c>
      <c r="J7" s="19">
        <v>131.68340000000001</v>
      </c>
    </row>
    <row r="8" spans="1:10" x14ac:dyDescent="0.35">
      <c r="A8" s="1" t="s">
        <v>26</v>
      </c>
      <c r="B8">
        <v>6184.36</v>
      </c>
      <c r="C8">
        <v>5720.6</v>
      </c>
      <c r="D8">
        <v>1641.01</v>
      </c>
      <c r="E8">
        <v>1642.36</v>
      </c>
      <c r="F8">
        <v>94947.86</v>
      </c>
      <c r="G8">
        <v>26934.65</v>
      </c>
      <c r="H8" s="24">
        <v>942</v>
      </c>
      <c r="I8" s="24">
        <v>137070.84</v>
      </c>
      <c r="J8" s="20">
        <v>145.5104</v>
      </c>
    </row>
    <row r="9" spans="1:10" x14ac:dyDescent="0.35">
      <c r="A9" s="1" t="s">
        <v>27</v>
      </c>
      <c r="B9">
        <v>5650.73</v>
      </c>
      <c r="C9">
        <v>4775.3999999999996</v>
      </c>
      <c r="D9">
        <v>2003.58</v>
      </c>
      <c r="E9">
        <v>1875.11</v>
      </c>
      <c r="F9">
        <v>89396.94</v>
      </c>
      <c r="G9">
        <v>29234.48</v>
      </c>
      <c r="H9" s="23">
        <v>949</v>
      </c>
      <c r="I9" s="23">
        <v>132936.24</v>
      </c>
      <c r="J9" s="19">
        <v>140.08029999999999</v>
      </c>
    </row>
    <row r="10" spans="1:10" x14ac:dyDescent="0.35">
      <c r="A10" s="1" t="s">
        <v>28</v>
      </c>
      <c r="B10">
        <v>4982.97</v>
      </c>
      <c r="C10">
        <v>3702.86</v>
      </c>
      <c r="D10">
        <v>1869.67</v>
      </c>
      <c r="E10">
        <v>1510.31</v>
      </c>
      <c r="F10">
        <v>95429.33</v>
      </c>
      <c r="G10">
        <v>29527.46</v>
      </c>
      <c r="H10" s="24">
        <v>849</v>
      </c>
      <c r="I10" s="24">
        <v>137022.6</v>
      </c>
      <c r="J10" s="20">
        <v>161.3929</v>
      </c>
    </row>
    <row r="11" spans="1:10" x14ac:dyDescent="0.35">
      <c r="A11" s="1" t="s">
        <v>29</v>
      </c>
      <c r="B11">
        <v>4774.92</v>
      </c>
      <c r="C11">
        <v>3819.51</v>
      </c>
      <c r="D11">
        <v>1726.41</v>
      </c>
      <c r="E11">
        <v>1710.44</v>
      </c>
      <c r="F11">
        <v>83385.919999999998</v>
      </c>
      <c r="G11">
        <v>23496.1</v>
      </c>
      <c r="H11" s="23">
        <v>844</v>
      </c>
      <c r="I11" s="23">
        <v>118913.3</v>
      </c>
      <c r="J11" s="19">
        <v>140.89250000000001</v>
      </c>
    </row>
    <row r="12" spans="1:10" x14ac:dyDescent="0.35">
      <c r="A12" s="1" t="s">
        <v>30</v>
      </c>
      <c r="B12">
        <v>5208.09</v>
      </c>
      <c r="C12">
        <v>3735</v>
      </c>
      <c r="D12">
        <v>2262.5700000000002</v>
      </c>
      <c r="E12">
        <v>1782.42</v>
      </c>
      <c r="F12">
        <v>81940.25</v>
      </c>
      <c r="G12">
        <v>27199.19</v>
      </c>
      <c r="H12" s="24">
        <v>891</v>
      </c>
      <c r="I12" s="24">
        <v>122127.52</v>
      </c>
      <c r="J12" s="20">
        <v>137.06790000000001</v>
      </c>
    </row>
    <row r="13" spans="1:10" ht="15" thickBot="1" x14ac:dyDescent="0.4">
      <c r="A13" s="1" t="s">
        <v>31</v>
      </c>
      <c r="B13">
        <v>5960.22</v>
      </c>
      <c r="C13">
        <v>4179.6899999999996</v>
      </c>
      <c r="D13">
        <v>1860.21</v>
      </c>
      <c r="E13">
        <v>1918.14</v>
      </c>
      <c r="F13">
        <v>70025.240000000005</v>
      </c>
      <c r="G13">
        <v>28495.15</v>
      </c>
      <c r="H13" s="25">
        <v>911</v>
      </c>
      <c r="I13" s="25">
        <v>112438.65</v>
      </c>
      <c r="J13" s="21">
        <v>123.4233</v>
      </c>
    </row>
    <row r="14" spans="1:10" x14ac:dyDescent="0.35">
      <c r="A14" s="31" t="s">
        <v>56</v>
      </c>
      <c r="B14" s="33">
        <v>66815.960000000006</v>
      </c>
      <c r="C14" s="33">
        <v>51754.450000000004</v>
      </c>
      <c r="D14" s="33">
        <v>23353.71</v>
      </c>
      <c r="E14" s="33">
        <v>21489.879999999997</v>
      </c>
      <c r="F14" s="33">
        <v>1041766.3800000001</v>
      </c>
      <c r="G14" s="33">
        <v>282710.34000000003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4F1D-6B72-4BAB-A194-1BD86A6F5EC5}">
  <dimension ref="A1:J14"/>
  <sheetViews>
    <sheetView topLeftCell="A15" workbookViewId="0">
      <selection sqref="A1:J1"/>
    </sheetView>
  </sheetViews>
  <sheetFormatPr defaultColWidth="12.7265625" defaultRowHeight="14.5" x14ac:dyDescent="0.35"/>
  <cols>
    <col min="10" max="10" width="15.54296875" customWidth="1"/>
  </cols>
  <sheetData>
    <row r="1" spans="1:10" ht="15" thickBot="1" x14ac:dyDescent="0.4">
      <c r="A1" s="33" t="s">
        <v>57</v>
      </c>
      <c r="B1" s="33" t="s">
        <v>65</v>
      </c>
      <c r="C1" s="33" t="s">
        <v>61</v>
      </c>
      <c r="D1" s="33" t="s">
        <v>60</v>
      </c>
      <c r="E1" s="33" t="s">
        <v>62</v>
      </c>
      <c r="F1" s="33" t="s">
        <v>63</v>
      </c>
      <c r="G1" s="33" t="s">
        <v>64</v>
      </c>
      <c r="H1" s="36" t="s">
        <v>58</v>
      </c>
      <c r="I1" s="36" t="s">
        <v>59</v>
      </c>
      <c r="J1" s="36" t="s">
        <v>1</v>
      </c>
    </row>
    <row r="2" spans="1:10" x14ac:dyDescent="0.35">
      <c r="A2" s="1" t="s">
        <v>32</v>
      </c>
      <c r="B2">
        <v>6636.16</v>
      </c>
      <c r="C2">
        <v>1487.43</v>
      </c>
      <c r="D2">
        <v>5427.52</v>
      </c>
      <c r="E2">
        <v>2144.59</v>
      </c>
      <c r="F2">
        <v>94414.21</v>
      </c>
      <c r="G2">
        <v>20397.919999999998</v>
      </c>
      <c r="H2" s="22">
        <v>959</v>
      </c>
      <c r="I2" s="22">
        <v>130507.83</v>
      </c>
      <c r="J2" s="22">
        <v>136.0874</v>
      </c>
    </row>
    <row r="3" spans="1:10" x14ac:dyDescent="0.35">
      <c r="A3" s="1" t="s">
        <v>33</v>
      </c>
      <c r="B3">
        <v>4979.7700000000004</v>
      </c>
      <c r="C3">
        <v>1801.61</v>
      </c>
      <c r="D3">
        <v>3554.75</v>
      </c>
      <c r="E3">
        <v>1732.58</v>
      </c>
      <c r="F3">
        <v>73898.37</v>
      </c>
      <c r="G3">
        <v>18603.73</v>
      </c>
      <c r="H3" s="23">
        <v>764</v>
      </c>
      <c r="I3" s="23">
        <v>104570.81</v>
      </c>
      <c r="J3" s="23">
        <v>136.87280000000001</v>
      </c>
    </row>
    <row r="4" spans="1:10" x14ac:dyDescent="0.35">
      <c r="A4" s="1" t="s">
        <v>34</v>
      </c>
      <c r="B4">
        <v>6553.73</v>
      </c>
      <c r="C4">
        <v>2503.3200000000002</v>
      </c>
      <c r="D4">
        <v>5314.94</v>
      </c>
      <c r="E4">
        <v>2265.29</v>
      </c>
      <c r="F4">
        <v>96788</v>
      </c>
      <c r="G4">
        <v>20382.919999999998</v>
      </c>
      <c r="H4" s="24">
        <v>989</v>
      </c>
      <c r="I4" s="24">
        <v>133808.20000000001</v>
      </c>
      <c r="J4" s="24">
        <v>135.29650000000001</v>
      </c>
    </row>
    <row r="5" spans="1:10" x14ac:dyDescent="0.35">
      <c r="A5" s="1" t="s">
        <v>35</v>
      </c>
      <c r="B5">
        <v>5060.6400000000003</v>
      </c>
      <c r="C5">
        <v>2034.94</v>
      </c>
      <c r="D5">
        <v>4429.95</v>
      </c>
      <c r="E5">
        <v>1540.15</v>
      </c>
      <c r="F5">
        <v>92097.68</v>
      </c>
      <c r="G5">
        <v>19065.07</v>
      </c>
      <c r="H5" s="23">
        <v>819</v>
      </c>
      <c r="I5" s="23">
        <v>124228.43</v>
      </c>
      <c r="J5" s="23">
        <v>151.6831</v>
      </c>
    </row>
    <row r="6" spans="1:10" x14ac:dyDescent="0.35">
      <c r="A6" s="1" t="s">
        <v>36</v>
      </c>
      <c r="B6">
        <v>5626.71</v>
      </c>
      <c r="C6">
        <v>2176.4</v>
      </c>
      <c r="D6">
        <v>4105.8599999999997</v>
      </c>
      <c r="E6">
        <v>1640.71</v>
      </c>
      <c r="F6">
        <v>80014.16</v>
      </c>
      <c r="G6">
        <v>22873.49</v>
      </c>
      <c r="H6" s="24">
        <v>869</v>
      </c>
      <c r="I6" s="24">
        <v>116437.33</v>
      </c>
      <c r="J6" s="24">
        <v>133.99</v>
      </c>
    </row>
    <row r="7" spans="1:10" x14ac:dyDescent="0.35">
      <c r="A7" s="1" t="s">
        <v>37</v>
      </c>
      <c r="B7">
        <v>6128.44</v>
      </c>
      <c r="C7">
        <v>1572.19</v>
      </c>
      <c r="D7">
        <v>5522.4</v>
      </c>
      <c r="E7">
        <v>1599.83</v>
      </c>
      <c r="F7">
        <v>90284.82</v>
      </c>
      <c r="G7">
        <v>26271.53</v>
      </c>
      <c r="H7" s="23">
        <v>914</v>
      </c>
      <c r="I7" s="23">
        <v>131379.21</v>
      </c>
      <c r="J7" s="23">
        <v>143.74090000000001</v>
      </c>
    </row>
    <row r="8" spans="1:10" x14ac:dyDescent="0.35">
      <c r="A8" s="1" t="s">
        <v>38</v>
      </c>
      <c r="B8">
        <v>5650.73</v>
      </c>
      <c r="C8">
        <v>2003.58</v>
      </c>
      <c r="D8">
        <v>4775.3999999999996</v>
      </c>
      <c r="E8">
        <v>1875.11</v>
      </c>
      <c r="F8">
        <v>89396.94</v>
      </c>
      <c r="G8">
        <v>29234.48</v>
      </c>
      <c r="H8" s="24">
        <v>949</v>
      </c>
      <c r="I8" s="24">
        <v>132936.24</v>
      </c>
      <c r="J8" s="24">
        <v>140.08029999999999</v>
      </c>
    </row>
    <row r="9" spans="1:10" x14ac:dyDescent="0.35">
      <c r="A9" s="1" t="s">
        <v>39</v>
      </c>
      <c r="B9">
        <v>5089.51</v>
      </c>
      <c r="C9">
        <v>1890.03</v>
      </c>
      <c r="D9">
        <v>3805.57</v>
      </c>
      <c r="E9">
        <v>1560.65</v>
      </c>
      <c r="F9">
        <v>97266.3</v>
      </c>
      <c r="G9">
        <v>29773.16</v>
      </c>
      <c r="H9" s="23">
        <v>873</v>
      </c>
      <c r="I9" s="23">
        <v>139385.22</v>
      </c>
      <c r="J9" s="23">
        <v>159.66229999999999</v>
      </c>
    </row>
    <row r="10" spans="1:10" x14ac:dyDescent="0.35">
      <c r="A10" s="1" t="s">
        <v>40</v>
      </c>
      <c r="B10">
        <v>4668.38</v>
      </c>
      <c r="C10">
        <v>1706.05</v>
      </c>
      <c r="D10">
        <v>3716.8</v>
      </c>
      <c r="E10">
        <v>1660.1</v>
      </c>
      <c r="F10">
        <v>81548.95</v>
      </c>
      <c r="G10">
        <v>23250.400000000001</v>
      </c>
      <c r="H10" s="24">
        <v>820</v>
      </c>
      <c r="I10" s="24">
        <v>116550.68</v>
      </c>
      <c r="J10" s="24">
        <v>142.13499999999999</v>
      </c>
    </row>
    <row r="11" spans="1:10" x14ac:dyDescent="0.35">
      <c r="A11" s="1" t="s">
        <v>41</v>
      </c>
      <c r="B11">
        <v>5434.43</v>
      </c>
      <c r="C11">
        <v>2274.69</v>
      </c>
      <c r="D11">
        <v>3852.46</v>
      </c>
      <c r="E11">
        <v>1813.35</v>
      </c>
      <c r="F11">
        <v>82761.61</v>
      </c>
      <c r="G11">
        <v>28067.7</v>
      </c>
      <c r="H11" s="23">
        <v>917</v>
      </c>
      <c r="I11" s="23">
        <v>124204.24</v>
      </c>
      <c r="J11" s="23">
        <v>135.44630000000001</v>
      </c>
    </row>
    <row r="12" spans="1:10" x14ac:dyDescent="0.35">
      <c r="A12" s="1" t="s">
        <v>42</v>
      </c>
      <c r="B12">
        <v>5733.88</v>
      </c>
      <c r="C12">
        <v>1848.09</v>
      </c>
      <c r="D12">
        <v>4062.23</v>
      </c>
      <c r="E12">
        <v>1887.21</v>
      </c>
      <c r="F12">
        <v>69203.88</v>
      </c>
      <c r="G12">
        <v>27626.639999999999</v>
      </c>
      <c r="H12" s="24">
        <v>885</v>
      </c>
      <c r="I12" s="24">
        <v>110361.93</v>
      </c>
      <c r="J12" s="24">
        <v>124.70269999999999</v>
      </c>
    </row>
    <row r="13" spans="1:10" ht="15" thickBot="1" x14ac:dyDescent="0.4">
      <c r="A13" s="1" t="s">
        <v>43</v>
      </c>
      <c r="B13">
        <v>5488.06</v>
      </c>
      <c r="C13">
        <v>2102.9</v>
      </c>
      <c r="D13">
        <v>3347.87</v>
      </c>
      <c r="E13">
        <v>1840.79</v>
      </c>
      <c r="F13">
        <v>96270.720000000001</v>
      </c>
      <c r="G13">
        <v>18047.349999999999</v>
      </c>
      <c r="H13" s="25">
        <v>855</v>
      </c>
      <c r="I13" s="25">
        <v>127097.69</v>
      </c>
      <c r="J13" s="25">
        <v>148.6523</v>
      </c>
    </row>
    <row r="14" spans="1:10" x14ac:dyDescent="0.35">
      <c r="A14" s="31" t="s">
        <v>56</v>
      </c>
      <c r="B14" s="33">
        <v>67050.439999999988</v>
      </c>
      <c r="C14" s="33">
        <v>23401.230000000003</v>
      </c>
      <c r="D14" s="33">
        <v>51915.750000000007</v>
      </c>
      <c r="E14" s="33">
        <v>21560.36</v>
      </c>
      <c r="F14" s="33">
        <v>1043945.6399999999</v>
      </c>
      <c r="G14" s="33">
        <v>283594.38999999996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59C6-1EF3-4F4B-8ACE-97168269C4A0}">
  <dimension ref="A1:J14"/>
  <sheetViews>
    <sheetView tabSelected="1" topLeftCell="A18" workbookViewId="0">
      <selection activeCell="F31" sqref="F31"/>
    </sheetView>
  </sheetViews>
  <sheetFormatPr defaultColWidth="14.08984375" defaultRowHeight="14.5" x14ac:dyDescent="0.35"/>
  <cols>
    <col min="10" max="10" width="15.26953125" customWidth="1"/>
  </cols>
  <sheetData>
    <row r="1" spans="1:10" ht="15" thickBot="1" x14ac:dyDescent="0.4">
      <c r="A1" s="33" t="s">
        <v>57</v>
      </c>
      <c r="B1" s="33" t="s">
        <v>65</v>
      </c>
      <c r="C1" s="33" t="s">
        <v>60</v>
      </c>
      <c r="D1" s="33" t="s">
        <v>61</v>
      </c>
      <c r="E1" s="33" t="s">
        <v>62</v>
      </c>
      <c r="F1" s="33" t="s">
        <v>63</v>
      </c>
      <c r="G1" s="33" t="s">
        <v>64</v>
      </c>
      <c r="H1" s="37" t="s">
        <v>58</v>
      </c>
      <c r="I1" s="37" t="s">
        <v>59</v>
      </c>
      <c r="J1" s="37" t="s">
        <v>1</v>
      </c>
    </row>
    <row r="2" spans="1:10" x14ac:dyDescent="0.35">
      <c r="A2" s="1" t="s">
        <v>44</v>
      </c>
      <c r="B2">
        <v>11060.32</v>
      </c>
      <c r="C2">
        <v>9497.33</v>
      </c>
      <c r="D2">
        <v>3653.6</v>
      </c>
      <c r="E2">
        <v>3888.98</v>
      </c>
      <c r="F2">
        <v>138621.67000000001</v>
      </c>
      <c r="G2">
        <v>14284.15</v>
      </c>
      <c r="H2" s="22">
        <v>1463</v>
      </c>
      <c r="I2" s="22">
        <v>181006.05</v>
      </c>
      <c r="J2" s="22">
        <v>123.7225</v>
      </c>
    </row>
    <row r="3" spans="1:10" x14ac:dyDescent="0.35">
      <c r="A3" s="1" t="s">
        <v>45</v>
      </c>
      <c r="B3">
        <v>9009.19</v>
      </c>
      <c r="C3">
        <v>7018.05</v>
      </c>
      <c r="D3">
        <v>2918.32</v>
      </c>
      <c r="E3">
        <v>3067.68</v>
      </c>
      <c r="F3">
        <v>131269.65</v>
      </c>
      <c r="G3">
        <v>12443.31</v>
      </c>
      <c r="H3" s="23">
        <v>1210</v>
      </c>
      <c r="I3" s="23">
        <v>165726.20000000001</v>
      </c>
      <c r="J3" s="23">
        <v>136.96379999999999</v>
      </c>
    </row>
    <row r="4" spans="1:10" x14ac:dyDescent="0.35">
      <c r="A4" s="1" t="s">
        <v>46</v>
      </c>
      <c r="B4">
        <v>9456.3700000000008</v>
      </c>
      <c r="C4">
        <v>8656.48</v>
      </c>
      <c r="D4">
        <v>3839.4</v>
      </c>
      <c r="E4">
        <v>3185.88</v>
      </c>
      <c r="F4">
        <v>136640.48000000001</v>
      </c>
      <c r="G4">
        <v>21365.7</v>
      </c>
      <c r="H4" s="24">
        <v>1409</v>
      </c>
      <c r="I4" s="24">
        <v>183144.31</v>
      </c>
      <c r="J4" s="24">
        <v>129.98179999999999</v>
      </c>
    </row>
    <row r="5" spans="1:10" x14ac:dyDescent="0.35">
      <c r="A5" s="1" t="s">
        <v>47</v>
      </c>
      <c r="B5">
        <v>12929.77</v>
      </c>
      <c r="C5">
        <v>11310.65</v>
      </c>
      <c r="D5">
        <v>4480.54</v>
      </c>
      <c r="E5">
        <v>4856.1899999999996</v>
      </c>
      <c r="F5">
        <v>102381.4</v>
      </c>
      <c r="G5">
        <v>32895.31</v>
      </c>
      <c r="H5" s="23">
        <v>1800</v>
      </c>
      <c r="I5" s="23">
        <v>168853.86</v>
      </c>
      <c r="J5" s="23">
        <v>93.807699999999997</v>
      </c>
    </row>
    <row r="6" spans="1:10" x14ac:dyDescent="0.35">
      <c r="A6" s="1" t="s">
        <v>48</v>
      </c>
      <c r="B6">
        <v>14308.74</v>
      </c>
      <c r="C6">
        <v>11924.65</v>
      </c>
      <c r="D6">
        <v>5341.24</v>
      </c>
      <c r="E6">
        <v>4509.87</v>
      </c>
      <c r="F6">
        <v>118406.29</v>
      </c>
      <c r="G6">
        <v>31827.87</v>
      </c>
      <c r="H6" s="24">
        <v>1834</v>
      </c>
      <c r="I6" s="24">
        <v>186318.66</v>
      </c>
      <c r="J6" s="24">
        <v>101.59139999999999</v>
      </c>
    </row>
    <row r="7" spans="1:10" x14ac:dyDescent="0.35">
      <c r="A7" s="1" t="s">
        <v>49</v>
      </c>
      <c r="B7">
        <v>14545.92</v>
      </c>
      <c r="C7">
        <v>10772.21</v>
      </c>
      <c r="D7">
        <v>4565.54</v>
      </c>
      <c r="E7">
        <v>4538.95</v>
      </c>
      <c r="F7">
        <v>99140.64</v>
      </c>
      <c r="G7">
        <v>33683.379999999997</v>
      </c>
      <c r="H7" s="23">
        <v>1755</v>
      </c>
      <c r="I7" s="23">
        <v>167246.64000000001</v>
      </c>
      <c r="J7" s="23">
        <v>95.297200000000004</v>
      </c>
    </row>
    <row r="8" spans="1:10" x14ac:dyDescent="0.35">
      <c r="A8" s="1" t="s">
        <v>50</v>
      </c>
      <c r="B8">
        <v>9013.64</v>
      </c>
      <c r="C8">
        <v>6169.08</v>
      </c>
      <c r="D8">
        <v>3243.61</v>
      </c>
      <c r="E8">
        <v>2958.09</v>
      </c>
      <c r="F8">
        <v>156807.07999999999</v>
      </c>
      <c r="G8">
        <v>26449.08</v>
      </c>
      <c r="H8" s="24">
        <v>1333</v>
      </c>
      <c r="I8" s="24">
        <v>204640.58</v>
      </c>
      <c r="J8" s="24">
        <v>153.5188</v>
      </c>
    </row>
    <row r="9" spans="1:10" x14ac:dyDescent="0.35">
      <c r="A9" s="1" t="s">
        <v>51</v>
      </c>
      <c r="B9">
        <v>8361.7999999999993</v>
      </c>
      <c r="C9">
        <v>7645.61</v>
      </c>
      <c r="D9">
        <v>2998.39</v>
      </c>
      <c r="E9">
        <v>2709.34</v>
      </c>
      <c r="F9">
        <v>161517.13</v>
      </c>
      <c r="G9">
        <v>26359.360000000001</v>
      </c>
      <c r="H9" s="23">
        <v>1339</v>
      </c>
      <c r="I9" s="23">
        <v>209591.63</v>
      </c>
      <c r="J9" s="23">
        <v>156.52850000000001</v>
      </c>
    </row>
    <row r="10" spans="1:10" x14ac:dyDescent="0.35">
      <c r="A10" s="1" t="s">
        <v>52</v>
      </c>
      <c r="B10">
        <v>8783.94</v>
      </c>
      <c r="C10">
        <v>7283.78</v>
      </c>
      <c r="D10">
        <v>3120.1</v>
      </c>
      <c r="E10">
        <v>2523.5700000000002</v>
      </c>
      <c r="F10">
        <v>150733.42000000001</v>
      </c>
      <c r="G10">
        <v>23670.13</v>
      </c>
      <c r="H10" s="24">
        <v>1304</v>
      </c>
      <c r="I10" s="24">
        <v>196114.94</v>
      </c>
      <c r="J10" s="24">
        <v>150.39490000000001</v>
      </c>
    </row>
    <row r="11" spans="1:10" x14ac:dyDescent="0.35">
      <c r="A11" s="1" t="s">
        <v>53</v>
      </c>
      <c r="B11">
        <v>13414.3</v>
      </c>
      <c r="C11">
        <v>10562.4</v>
      </c>
      <c r="D11">
        <v>4909.59</v>
      </c>
      <c r="E11">
        <v>4294.84</v>
      </c>
      <c r="F11">
        <v>257001.19</v>
      </c>
      <c r="G11">
        <v>40580.5</v>
      </c>
      <c r="H11" s="23">
        <v>2093</v>
      </c>
      <c r="I11" s="23">
        <v>330762.82</v>
      </c>
      <c r="J11" s="23">
        <v>158.03290000000001</v>
      </c>
    </row>
    <row r="12" spans="1:10" x14ac:dyDescent="0.35">
      <c r="A12" s="1" t="s">
        <v>54</v>
      </c>
      <c r="B12">
        <v>8109.53</v>
      </c>
      <c r="C12">
        <v>7482.93</v>
      </c>
      <c r="D12">
        <v>3130.52</v>
      </c>
      <c r="E12">
        <v>2916.37</v>
      </c>
      <c r="F12">
        <v>175539.20000000001</v>
      </c>
      <c r="G12">
        <v>23062.18</v>
      </c>
      <c r="H12" s="24">
        <v>1400</v>
      </c>
      <c r="I12" s="24">
        <v>220240.73</v>
      </c>
      <c r="J12" s="24">
        <v>157.31479999999999</v>
      </c>
    </row>
    <row r="13" spans="1:10" ht="15" thickBot="1" x14ac:dyDescent="0.4">
      <c r="A13" s="1" t="s">
        <v>55</v>
      </c>
      <c r="B13">
        <v>9668.7000000000007</v>
      </c>
      <c r="C13">
        <v>7612.67</v>
      </c>
      <c r="D13">
        <v>3320.63</v>
      </c>
      <c r="E13">
        <v>2953.44</v>
      </c>
      <c r="F13">
        <v>154975.51</v>
      </c>
      <c r="G13">
        <v>29740.799999999999</v>
      </c>
      <c r="H13" s="25">
        <v>1461</v>
      </c>
      <c r="I13" s="25">
        <v>208271.75</v>
      </c>
      <c r="J13" s="25">
        <v>142.55420000000001</v>
      </c>
    </row>
    <row r="14" spans="1:10" x14ac:dyDescent="0.35">
      <c r="A14" s="31" t="s">
        <v>56</v>
      </c>
      <c r="B14" s="33">
        <v>128662.22000000002</v>
      </c>
      <c r="C14" s="33">
        <v>105935.83999999998</v>
      </c>
      <c r="D14" s="33">
        <v>45521.479999999996</v>
      </c>
      <c r="E14" s="33">
        <v>42403.200000000004</v>
      </c>
      <c r="F14" s="33">
        <v>1783033.66</v>
      </c>
      <c r="G14" s="33">
        <v>316361.76999999996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LTV_Report_PhysicalST </vt:lpstr>
      <vt:lpstr>Category_Breakdown</vt:lpstr>
      <vt:lpstr>Annual_Revenue_SM</vt:lpstr>
      <vt:lpstr>ST_PR_Rank</vt:lpstr>
      <vt:lpstr>Montly_Sales_RP_22</vt:lpstr>
      <vt:lpstr>Montly_Sales_RP_23</vt:lpstr>
      <vt:lpstr>Montly_Sales_RP_24</vt:lpstr>
      <vt:lpstr>Montly_Sales_RP_25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sthefanie ramirez</cp:lastModifiedBy>
  <dcterms:created xsi:type="dcterms:W3CDTF">2026-05-01T05:11:26Z</dcterms:created>
  <dcterms:modified xsi:type="dcterms:W3CDTF">2026-05-01T21:50:40Z</dcterms:modified>
</cp:coreProperties>
</file>