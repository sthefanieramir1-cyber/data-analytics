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ml.chartshapes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ml.chartshapes+xml"/>
  <Override PartName="/xl/pivotTables/pivotTable5.xml" ContentType="application/vnd.openxmlformats-officedocument.spreadsheetml.pivotTab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thef\data-analytics\Capstone_1\"/>
    </mc:Choice>
  </mc:AlternateContent>
  <xr:revisionPtr revIDLastSave="0" documentId="13_ncr:9_{77722929-599F-470F-949C-AEFB96F8E317}" xr6:coauthVersionLast="47" xr6:coauthVersionMax="47" xr10:uidLastSave="{00000000-0000-0000-0000-000000000000}"/>
  <bookViews>
    <workbookView xWindow="-110" yWindow="-110" windowWidth="19420" windowHeight="10300" firstSheet="1" activeTab="1" xr2:uid="{65709D1B-2BFA-49C7-A195-4CA7073BAFA1}"/>
  </bookViews>
  <sheets>
    <sheet name="LTV_Report_PhysicalST " sheetId="4" r:id="rId1"/>
    <sheet name="Category_Breakdown" sheetId="17" r:id="rId2"/>
    <sheet name="Annual_Revenue_SM" sheetId="8" r:id="rId3"/>
    <sheet name="Montly_Sales_RP_22" sheetId="10" r:id="rId4"/>
    <sheet name="Montly_Sales_RP_23" sheetId="13" r:id="rId5"/>
    <sheet name="Montly_Sales_RP_24" sheetId="14" r:id="rId6"/>
    <sheet name="Montly_Sales_RP_25" sheetId="15" r:id="rId7"/>
  </sheets>
  <calcPr calcId="0"/>
  <pivotCaches>
    <pivotCache cacheId="10" r:id="rId8"/>
    <pivotCache cacheId="21" r:id="rId9"/>
    <pivotCache cacheId="25" r:id="rId10"/>
    <pivotCache cacheId="29" r:id="rId11"/>
    <pivotCache cacheId="33" r:id="rId12"/>
  </pivotCaches>
</workbook>
</file>

<file path=xl/calcChain.xml><?xml version="1.0" encoding="utf-8"?>
<calcChain xmlns="http://schemas.openxmlformats.org/spreadsheetml/2006/main">
  <c r="E3" i="8" l="1"/>
  <c r="E4" i="8"/>
  <c r="E5" i="8"/>
  <c r="B50" i="4"/>
  <c r="J50" i="4"/>
  <c r="I50" i="4"/>
  <c r="H50" i="4"/>
  <c r="G50" i="4"/>
  <c r="F50" i="4"/>
  <c r="E50" i="4"/>
  <c r="D50" i="4"/>
  <c r="C50" i="4"/>
</calcChain>
</file>

<file path=xl/sharedStrings.xml><?xml version="1.0" encoding="utf-8"?>
<sst xmlns="http://schemas.openxmlformats.org/spreadsheetml/2006/main" count="168" uniqueCount="77">
  <si>
    <t>Monthly_Sales</t>
  </si>
  <si>
    <t>Average_Revenue</t>
  </si>
  <si>
    <t>Apparel</t>
  </si>
  <si>
    <t>Art_Supplies</t>
  </si>
  <si>
    <t>Books</t>
  </si>
  <si>
    <t>Stationery</t>
  </si>
  <si>
    <t>Technology</t>
  </si>
  <si>
    <t>Textbooks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</si>
  <si>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</si>
  <si>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</si>
  <si>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</si>
  <si>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</si>
  <si>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</si>
  <si>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</si>
  <si>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</si>
  <si>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</si>
  <si>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</si>
  <si>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</si>
  <si>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</si>
  <si>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</si>
  <si>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</si>
  <si>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</si>
  <si>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</si>
  <si>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</si>
  <si>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</si>
  <si>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</si>
  <si>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</si>
  <si>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</si>
  <si>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</si>
  <si>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</si>
  <si>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</si>
  <si>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</si>
  <si>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</si>
  <si>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</si>
  <si>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</si>
  <si>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</si>
  <si>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</si>
  <si>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</si>
  <si>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</si>
  <si>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</si>
  <si>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</si>
  <si>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</si>
  <si>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</si>
  <si>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</si>
  <si>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</si>
  <si>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</si>
  <si>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</si>
  <si>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</si>
  <si>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</si>
  <si>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</si>
  <si>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</si>
  <si>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</si>
  <si>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</si>
  <si>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</si>
  <si>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</si>
  <si>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</si>
  <si>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Grand Total</t>
  </si>
  <si>
    <t>Month</t>
  </si>
  <si>
    <t>Transactions</t>
  </si>
  <si>
    <t>Revenue</t>
  </si>
  <si>
    <t xml:space="preserve"> Art_Supplies</t>
  </si>
  <si>
    <t xml:space="preserve"> Books</t>
  </si>
  <si>
    <t xml:space="preserve"> Stationery</t>
  </si>
  <si>
    <t xml:space="preserve"> Technology</t>
  </si>
  <si>
    <t xml:space="preserve"> Textbooks</t>
  </si>
  <si>
    <t xml:space="preserve"> Apparel</t>
  </si>
  <si>
    <t>Year</t>
  </si>
  <si>
    <t>Total Transactions</t>
  </si>
  <si>
    <t>2022</t>
  </si>
  <si>
    <t>2023</t>
  </si>
  <si>
    <t>2024</t>
  </si>
  <si>
    <t>2025</t>
  </si>
  <si>
    <t>Total Revenue</t>
  </si>
  <si>
    <t xml:space="preserve">Avg Monthly Rev </t>
  </si>
  <si>
    <t>Totals =</t>
  </si>
  <si>
    <t xml:space="preserve"> Art Supplies</t>
  </si>
  <si>
    <t>Growth Per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</si>
</sst>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8" formatCode="\$#,##0.00"/>
    <numFmt numFmtId="169" formatCode="0.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9" tint="0.79998168889431442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/>
    <xf numFmtId="0" fontId="19" fillId="34" borderId="12" xfId="0" applyFont="1" applyFill="1" applyBorder="1" applyAlignment="1">
      <alignment horizontal="center" vertical="center" wrapText="1"/>
    </xf>
    <xf numFmtId="0" fontId="19" fillId="34" borderId="13" xfId="0" applyFont="1" applyFill="1" applyBorder="1" applyAlignment="1">
      <alignment horizontal="center" vertical="center" wrapText="1"/>
    </xf>
    <xf numFmtId="0" fontId="19" fillId="34" borderId="14" xfId="0" applyFont="1" applyFill="1" applyBorder="1" applyAlignment="1">
      <alignment horizontal="center" vertical="center" wrapText="1"/>
    </xf>
    <xf numFmtId="0" fontId="18" fillId="33" borderId="15" xfId="0" applyNumberFormat="1" applyFont="1" applyFill="1" applyBorder="1" applyAlignment="1">
      <alignment horizontal="center" vertical="center"/>
    </xf>
    <xf numFmtId="3" fontId="18" fillId="33" borderId="11" xfId="0" applyNumberFormat="1" applyFont="1" applyFill="1" applyBorder="1" applyAlignment="1">
      <alignment horizontal="center" vertical="center"/>
    </xf>
    <xf numFmtId="168" fontId="18" fillId="33" borderId="11" xfId="0" applyNumberFormat="1" applyFont="1" applyFill="1" applyBorder="1" applyAlignment="1">
      <alignment horizontal="center" vertical="center"/>
    </xf>
    <xf numFmtId="168" fontId="18" fillId="33" borderId="16" xfId="0" applyNumberFormat="1" applyFont="1" applyFill="1" applyBorder="1" applyAlignment="1">
      <alignment horizontal="center" vertical="center"/>
    </xf>
    <xf numFmtId="0" fontId="18" fillId="34" borderId="15" xfId="0" applyNumberFormat="1" applyFont="1" applyFill="1" applyBorder="1" applyAlignment="1">
      <alignment horizontal="center" vertical="center"/>
    </xf>
    <xf numFmtId="3" fontId="18" fillId="34" borderId="11" xfId="0" applyNumberFormat="1" applyFont="1" applyFill="1" applyBorder="1" applyAlignment="1">
      <alignment horizontal="center" vertical="center"/>
    </xf>
    <xf numFmtId="168" fontId="18" fillId="34" borderId="11" xfId="0" applyNumberFormat="1" applyFont="1" applyFill="1" applyBorder="1" applyAlignment="1">
      <alignment horizontal="center" vertical="center"/>
    </xf>
    <xf numFmtId="168" fontId="18" fillId="34" borderId="16" xfId="0" applyNumberFormat="1" applyFont="1" applyFill="1" applyBorder="1" applyAlignment="1">
      <alignment horizontal="center" vertical="center"/>
    </xf>
    <xf numFmtId="0" fontId="18" fillId="34" borderId="17" xfId="0" applyFont="1" applyFill="1" applyBorder="1" applyAlignment="1">
      <alignment horizontal="center" vertical="center"/>
    </xf>
    <xf numFmtId="3" fontId="18" fillId="34" borderId="18" xfId="0" applyNumberFormat="1" applyFont="1" applyFill="1" applyBorder="1" applyAlignment="1">
      <alignment horizontal="center" vertical="center"/>
    </xf>
    <xf numFmtId="168" fontId="18" fillId="34" borderId="18" xfId="0" applyNumberFormat="1" applyFont="1" applyFill="1" applyBorder="1" applyAlignment="1">
      <alignment horizontal="center" vertical="center"/>
    </xf>
    <xf numFmtId="168" fontId="18" fillId="34" borderId="19" xfId="0" applyNumberFormat="1" applyFont="1" applyFill="1" applyBorder="1" applyAlignment="1">
      <alignment horizontal="center" vertical="center"/>
    </xf>
    <xf numFmtId="168" fontId="0" fillId="0" borderId="0" xfId="0" applyNumberFormat="1"/>
    <xf numFmtId="0" fontId="0" fillId="35" borderId="21" xfId="0" applyFont="1" applyFill="1" applyBorder="1"/>
    <xf numFmtId="0" fontId="0" fillId="34" borderId="22" xfId="0" applyFont="1" applyFill="1" applyBorder="1"/>
    <xf numFmtId="0" fontId="0" fillId="35" borderId="22" xfId="0" applyFont="1" applyFill="1" applyBorder="1"/>
    <xf numFmtId="0" fontId="0" fillId="34" borderId="23" xfId="0" applyFont="1" applyFill="1" applyBorder="1"/>
    <xf numFmtId="0" fontId="0" fillId="35" borderId="25" xfId="0" applyFont="1" applyFill="1" applyBorder="1"/>
    <xf numFmtId="0" fontId="0" fillId="34" borderId="26" xfId="0" applyFont="1" applyFill="1" applyBorder="1"/>
    <xf numFmtId="0" fontId="0" fillId="35" borderId="26" xfId="0" applyFont="1" applyFill="1" applyBorder="1"/>
    <xf numFmtId="0" fontId="0" fillId="34" borderId="27" xfId="0" applyFont="1" applyFill="1" applyBorder="1"/>
    <xf numFmtId="0" fontId="19" fillId="34" borderId="28" xfId="0" applyFont="1" applyFill="1" applyBorder="1" applyAlignment="1">
      <alignment horizontal="center" vertical="center" wrapText="1"/>
    </xf>
    <xf numFmtId="169" fontId="18" fillId="34" borderId="11" xfId="0" applyNumberFormat="1" applyFont="1" applyFill="1" applyBorder="1" applyAlignment="1">
      <alignment horizontal="center" vertical="center"/>
    </xf>
    <xf numFmtId="169" fontId="18" fillId="33" borderId="1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9" fontId="18" fillId="33" borderId="11" xfId="2" applyFont="1" applyFill="1" applyBorder="1" applyAlignment="1">
      <alignment horizontal="center" vertical="center"/>
    </xf>
    <xf numFmtId="0" fontId="0" fillId="33" borderId="0" xfId="0" applyFill="1" applyAlignment="1">
      <alignment horizontal="left"/>
    </xf>
    <xf numFmtId="168" fontId="0" fillId="33" borderId="0" xfId="0" applyNumberFormat="1" applyFill="1"/>
    <xf numFmtId="0" fontId="0" fillId="33" borderId="0" xfId="0" applyFill="1"/>
    <xf numFmtId="0" fontId="0" fillId="33" borderId="0" xfId="0" applyNumberFormat="1" applyFill="1"/>
    <xf numFmtId="0" fontId="16" fillId="33" borderId="18" xfId="0" applyFont="1" applyFill="1" applyBorder="1"/>
    <xf numFmtId="0" fontId="16" fillId="33" borderId="24" xfId="0" applyFont="1" applyFill="1" applyBorder="1"/>
    <xf numFmtId="0" fontId="16" fillId="33" borderId="10" xfId="0" applyFont="1" applyFill="1" applyBorder="1"/>
    <xf numFmtId="0" fontId="16" fillId="33" borderId="20" xfId="0" applyFont="1" applyFill="1" applyBorder="1"/>
    <xf numFmtId="44" fontId="0" fillId="0" borderId="0" xfId="1" applyFont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" xfId="1" builtinId="4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30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[Ramirez_Sthefanie_territory_chart.xlsx]Category_Breakdown!PivotTable9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Product Category – Annual View</a:t>
            </a:r>
          </a:p>
        </c:rich>
      </c:tx>
      <c:layout>
        <c:manualLayout>
          <c:xMode val="edge"/>
          <c:yMode val="edge"/>
          <c:x val="0.21701249607949946"/>
          <c:y val="2.69360269360269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Vert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Vert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1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Vert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3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Vert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4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Vert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narVert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6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571578709893968"/>
          <c:y val="0.17816597925259342"/>
          <c:w val="0.80103824926628475"/>
          <c:h val="0.7885806762943868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Category_Breakdown!$B$1</c:f>
              <c:strCache>
                <c:ptCount val="1"/>
                <c:pt idx="0">
                  <c:v> Apparel</c:v>
                </c:pt>
              </c:strCache>
            </c:strRef>
          </c:tx>
          <c:spPr>
            <a:pattFill prst="narVert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Category_Breakdown!$A$2:$A$6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Category_Breakdown!$B$2:$B$6</c:f>
              <c:numCache>
                <c:formatCode>\$#,##0.00</c:formatCode>
                <c:ptCount val="4"/>
                <c:pt idx="0">
                  <c:v>37030.89</c:v>
                </c:pt>
                <c:pt idx="1">
                  <c:v>66815.960000000006</c:v>
                </c:pt>
                <c:pt idx="2">
                  <c:v>67050.44</c:v>
                </c:pt>
                <c:pt idx="3">
                  <c:v>128662.22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24-49BD-B20D-441A6038FB45}"/>
            </c:ext>
          </c:extLst>
        </c:ser>
        <c:ser>
          <c:idx val="1"/>
          <c:order val="1"/>
          <c:tx>
            <c:strRef>
              <c:f>Category_Breakdown!$C$1</c:f>
              <c:strCache>
                <c:ptCount val="1"/>
                <c:pt idx="0">
                  <c:v> Art Supplies</c:v>
                </c:pt>
              </c:strCache>
            </c:strRef>
          </c:tx>
          <c:spPr>
            <a:pattFill prst="narVert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Category_Breakdown!$A$2:$A$6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Category_Breakdown!$C$2:$C$6</c:f>
              <c:numCache>
                <c:formatCode>\$#,##0.00</c:formatCode>
                <c:ptCount val="4"/>
                <c:pt idx="0">
                  <c:v>30306.37</c:v>
                </c:pt>
                <c:pt idx="1">
                  <c:v>51754.45</c:v>
                </c:pt>
                <c:pt idx="2">
                  <c:v>51915.75</c:v>
                </c:pt>
                <c:pt idx="3">
                  <c:v>105935.84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24-49BD-B20D-441A6038FB45}"/>
            </c:ext>
          </c:extLst>
        </c:ser>
        <c:ser>
          <c:idx val="2"/>
          <c:order val="2"/>
          <c:tx>
            <c:strRef>
              <c:f>Category_Breakdown!$D$1</c:f>
              <c:strCache>
                <c:ptCount val="1"/>
                <c:pt idx="0">
                  <c:v> Books</c:v>
                </c:pt>
              </c:strCache>
            </c:strRef>
          </c:tx>
          <c:spPr>
            <a:pattFill prst="narVert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Category_Breakdown!$A$2:$A$6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Category_Breakdown!$D$2:$D$6</c:f>
              <c:numCache>
                <c:formatCode>\$#,##0.00</c:formatCode>
                <c:ptCount val="4"/>
                <c:pt idx="0">
                  <c:v>15131</c:v>
                </c:pt>
                <c:pt idx="1">
                  <c:v>23353.71</c:v>
                </c:pt>
                <c:pt idx="2">
                  <c:v>23401.23</c:v>
                </c:pt>
                <c:pt idx="3">
                  <c:v>45521.48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24-49BD-B20D-441A6038FB45}"/>
            </c:ext>
          </c:extLst>
        </c:ser>
        <c:ser>
          <c:idx val="3"/>
          <c:order val="3"/>
          <c:tx>
            <c:strRef>
              <c:f>Category_Breakdown!$E$1</c:f>
              <c:strCache>
                <c:ptCount val="1"/>
                <c:pt idx="0">
                  <c:v> Stationery</c:v>
                </c:pt>
              </c:strCache>
            </c:strRef>
          </c:tx>
          <c:spPr>
            <a:pattFill prst="narVert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Category_Breakdown!$A$2:$A$6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Category_Breakdown!$E$2:$E$6</c:f>
              <c:numCache>
                <c:formatCode>\$#,##0.00</c:formatCode>
                <c:ptCount val="4"/>
                <c:pt idx="0">
                  <c:v>13029.18</c:v>
                </c:pt>
                <c:pt idx="1">
                  <c:v>21489.88</c:v>
                </c:pt>
                <c:pt idx="2">
                  <c:v>21560.36</c:v>
                </c:pt>
                <c:pt idx="3">
                  <c:v>42403.199999999997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24-49BD-B20D-441A6038FB45}"/>
            </c:ext>
          </c:extLst>
        </c:ser>
        <c:ser>
          <c:idx val="4"/>
          <c:order val="4"/>
          <c:tx>
            <c:strRef>
              <c:f>Category_Breakdown!$F$1</c:f>
              <c:strCache>
                <c:ptCount val="1"/>
                <c:pt idx="0">
                  <c:v> Technology</c:v>
                </c:pt>
              </c:strCache>
            </c:strRef>
          </c:tx>
          <c:spPr>
            <a:pattFill prst="narVert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Category_Breakdown!$A$2:$A$6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Category_Breakdown!$F$2:$F$6</c:f>
              <c:numCache>
                <c:formatCode>\$#,##0.00</c:formatCode>
                <c:ptCount val="4"/>
                <c:pt idx="0">
                  <c:v>685377.79</c:v>
                </c:pt>
                <c:pt idx="1">
                  <c:v>1041766.38</c:v>
                </c:pt>
                <c:pt idx="2">
                  <c:v>1043945.64</c:v>
                </c:pt>
                <c:pt idx="3">
                  <c:v>1783033.66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24-49BD-B20D-441A6038FB45}"/>
            </c:ext>
          </c:extLst>
        </c:ser>
        <c:ser>
          <c:idx val="5"/>
          <c:order val="5"/>
          <c:tx>
            <c:strRef>
              <c:f>Category_Breakdown!$G$1</c:f>
              <c:strCache>
                <c:ptCount val="1"/>
                <c:pt idx="0">
                  <c:v> Textbooks</c:v>
                </c:pt>
              </c:strCache>
            </c:strRef>
          </c:tx>
          <c:spPr>
            <a:pattFill prst="narVert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Category_Breakdown!$A$2:$A$6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Category_Breakdown!$G$2:$G$6</c:f>
              <c:numCache>
                <c:formatCode>\$#,##0.00</c:formatCode>
                <c:ptCount val="4"/>
                <c:pt idx="0">
                  <c:v>230480.29</c:v>
                </c:pt>
                <c:pt idx="1">
                  <c:v>282710.34000000003</c:v>
                </c:pt>
                <c:pt idx="2">
                  <c:v>283594.39</c:v>
                </c:pt>
                <c:pt idx="3">
                  <c:v>316361.77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24-49BD-B20D-441A6038F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7"/>
        <c:overlap val="-48"/>
        <c:axId val="1819488671"/>
        <c:axId val="1819489151"/>
      </c:barChart>
      <c:catAx>
        <c:axId val="1819488671"/>
        <c:scaling>
          <c:orientation val="maxMin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489151"/>
        <c:crossesAt val="1"/>
        <c:auto val="1"/>
        <c:lblAlgn val="ctr"/>
        <c:lblOffset val="100"/>
        <c:noMultiLvlLbl val="0"/>
      </c:catAx>
      <c:valAx>
        <c:axId val="1819489151"/>
        <c:scaling>
          <c:orientation val="minMax"/>
        </c:scaling>
        <c:delete val="0"/>
        <c:axPos val="t"/>
        <c:numFmt formatCode="\$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488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Revenue Summary </a:t>
            </a:r>
          </a:p>
          <a:p>
            <a:pPr>
              <a:defRPr/>
            </a:pPr>
            <a:r>
              <a:rPr lang="en-US"/>
              <a:t>(2022–2025)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Annual_Revenue_SM!$A$1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Annual_Revenue_SM!$A$2:$A$5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1-4C19-8EDA-A9AF63BF8EE1}"/>
            </c:ext>
          </c:extLst>
        </c:ser>
        <c:ser>
          <c:idx val="2"/>
          <c:order val="2"/>
          <c:tx>
            <c:strRef>
              <c:f>Annual_Revenue_SM!$C$1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Annual_Revenue_SM!$C$2:$C$5</c:f>
              <c:numCache>
                <c:formatCode>\$#,##0.00</c:formatCode>
                <c:ptCount val="4"/>
                <c:pt idx="0">
                  <c:v>1011355.52</c:v>
                </c:pt>
                <c:pt idx="1">
                  <c:v>1487890.72</c:v>
                </c:pt>
                <c:pt idx="2">
                  <c:v>1491467.81</c:v>
                </c:pt>
                <c:pt idx="3">
                  <c:v>2421918.17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1-4C19-8EDA-A9AF63BF8EE1}"/>
            </c:ext>
          </c:extLst>
        </c:ser>
        <c:ser>
          <c:idx val="4"/>
          <c:order val="4"/>
          <c:tx>
            <c:strRef>
              <c:f>Annual_Revenue_SM!$E$1</c:f>
              <c:strCache>
                <c:ptCount val="1"/>
                <c:pt idx="0">
                  <c:v>Growth Per Year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Annual_Revenue_SM!$E$2:$E$5</c:f>
              <c:numCache>
                <c:formatCode>0.00%</c:formatCode>
                <c:ptCount val="4"/>
                <c:pt idx="0" formatCode="0%">
                  <c:v>0</c:v>
                </c:pt>
                <c:pt idx="1">
                  <c:v>0.47118465324636777</c:v>
                </c:pt>
                <c:pt idx="2" formatCode="0.0%">
                  <c:v>2.4041348950681564E-3</c:v>
                </c:pt>
                <c:pt idx="3" formatCode="0.0%">
                  <c:v>0.62384877082932133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31-4C19-8EDA-A9AF63BF8E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1835272191"/>
        <c:axId val="183527267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Annual_Revenue_SM!$B$1</c15:sqref>
                        </c15:formulaRef>
                      </c:ext>
                    </c:extLst>
                    <c:strCache>
                      <c:ptCount val="1"/>
                      <c:pt idx="0">
                        <c:v>Total Transactions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Annual_Revenue_SM!$B$2:$B$5</c15:sqref>
                        </c15:formulaRef>
                      </c:ext>
                    </c:extLst>
                    <c:numCache>
                      <c:formatCode>#,##0</c:formatCode>
                      <c:ptCount val="4"/>
                      <c:pt idx="0">
                        <c:v>6904</c:v>
                      </c:pt>
                      <c:pt idx="1">
                        <c:v>10580</c:v>
                      </c:pt>
                      <c:pt idx="2">
                        <c:v>10613</c:v>
                      </c:pt>
                      <c:pt idx="3">
                        <c:v>18401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231-4C19-8EDA-A9AF63BF8EE1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Annual_Revenue_SM!$D$1</c15:sqref>
                        </c15:formulaRef>
                      </c:ext>
                    </c:extLst>
                    <c:strCache>
                      <c:ptCount val="1"/>
                      <c:pt idx="0">
                        <c:v>Avg Monthly Rev 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Annual_Revenue_SM!$D$2:$D$5</c15:sqref>
                        </c15:formulaRef>
                      </c:ext>
                    </c:extLst>
                    <c:numCache>
                      <c:formatCode>\$#,##0.00</c:formatCode>
                      <c:ptCount val="4"/>
                      <c:pt idx="0">
                        <c:v>84279.626666666663</c:v>
                      </c:pt>
                      <c:pt idx="1">
                        <c:v>123990.8933333333</c:v>
                      </c:pt>
                      <c:pt idx="2">
                        <c:v>124288.98416666671</c:v>
                      </c:pt>
                      <c:pt idx="3">
                        <c:v>201826.51416666669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7231-4C19-8EDA-A9AF63BF8EE1}"/>
                  </c:ext>
                </c:extLst>
              </c15:ser>
            </c15:filteredBarSeries>
          </c:ext>
        </c:extLst>
      </c:barChart>
      <c:catAx>
        <c:axId val="1835272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5272671"/>
        <c:crosses val="autoZero"/>
        <c:auto val="1"/>
        <c:lblAlgn val="ctr"/>
        <c:lblOffset val="100"/>
        <c:noMultiLvlLbl val="0"/>
      </c:catAx>
      <c:valAx>
        <c:axId val="18352726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3527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[Ramirez_Sthefanie_territory_chart.xlsx]Montly_Sales_RP_22!PivotTable3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9912586407787278E-2"/>
          <c:y val="0.14311270125223613"/>
          <c:w val="0.84240745288391705"/>
          <c:h val="0.703406814756384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Montly_Sales_RP_22!$B$1</c:f>
              <c:strCache>
                <c:ptCount val="1"/>
                <c:pt idx="0">
                  <c:v> Apparel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Montly_Sales_RP_22!$A$2:$A$14</c:f>
              <c:strCache>
                <c:ptCount val="12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</c:strCache>
            </c:strRef>
          </c:cat>
          <c:val>
            <c:numRef>
              <c:f>Montly_Sales_RP_22!$B$2:$B$14</c:f>
              <c:numCache>
                <c:formatCode>General</c:formatCode>
                <c:ptCount val="12"/>
                <c:pt idx="0">
                  <c:v>3632.4</c:v>
                </c:pt>
                <c:pt idx="1">
                  <c:v>2199.75</c:v>
                </c:pt>
                <c:pt idx="2">
                  <c:v>3133.64</c:v>
                </c:pt>
                <c:pt idx="3">
                  <c:v>3189.07</c:v>
                </c:pt>
                <c:pt idx="4">
                  <c:v>3132.81</c:v>
                </c:pt>
                <c:pt idx="5">
                  <c:v>2927.67</c:v>
                </c:pt>
                <c:pt idx="6">
                  <c:v>2881.63</c:v>
                </c:pt>
                <c:pt idx="7">
                  <c:v>3582.97</c:v>
                </c:pt>
                <c:pt idx="8">
                  <c:v>2942.9</c:v>
                </c:pt>
                <c:pt idx="9">
                  <c:v>3229.48</c:v>
                </c:pt>
                <c:pt idx="10">
                  <c:v>2541.9699999999998</c:v>
                </c:pt>
                <c:pt idx="11">
                  <c:v>3636.6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9-41BD-8480-3DE9924FD1A5}"/>
            </c:ext>
          </c:extLst>
        </c:ser>
        <c:ser>
          <c:idx val="1"/>
          <c:order val="1"/>
          <c:tx>
            <c:strRef>
              <c:f>Montly_Sales_RP_22!$C$1</c:f>
              <c:strCache>
                <c:ptCount val="1"/>
                <c:pt idx="0">
                  <c:v> Art_Supplies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Montly_Sales_RP_22!$A$2:$A$14</c:f>
              <c:strCache>
                <c:ptCount val="12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</c:strCache>
            </c:strRef>
          </c:cat>
          <c:val>
            <c:numRef>
              <c:f>Montly_Sales_RP_22!$C$2:$C$14</c:f>
              <c:numCache>
                <c:formatCode>General</c:formatCode>
                <c:ptCount val="12"/>
                <c:pt idx="0">
                  <c:v>2283.52</c:v>
                </c:pt>
                <c:pt idx="1">
                  <c:v>3224.79</c:v>
                </c:pt>
                <c:pt idx="2">
                  <c:v>2619.12</c:v>
                </c:pt>
                <c:pt idx="3">
                  <c:v>1931.28</c:v>
                </c:pt>
                <c:pt idx="4">
                  <c:v>3007</c:v>
                </c:pt>
                <c:pt idx="5">
                  <c:v>1726.3</c:v>
                </c:pt>
                <c:pt idx="6">
                  <c:v>2879.83</c:v>
                </c:pt>
                <c:pt idx="7">
                  <c:v>2447.0100000000002</c:v>
                </c:pt>
                <c:pt idx="8">
                  <c:v>2788.04</c:v>
                </c:pt>
                <c:pt idx="9">
                  <c:v>2784.17</c:v>
                </c:pt>
                <c:pt idx="10">
                  <c:v>2190.59</c:v>
                </c:pt>
                <c:pt idx="11">
                  <c:v>2424.7199999999998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F9-41BD-8480-3DE9924FD1A5}"/>
            </c:ext>
          </c:extLst>
        </c:ser>
        <c:ser>
          <c:idx val="2"/>
          <c:order val="2"/>
          <c:tx>
            <c:strRef>
              <c:f>Montly_Sales_RP_22!$D$1</c:f>
              <c:strCache>
                <c:ptCount val="1"/>
                <c:pt idx="0">
                  <c:v> Books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Montly_Sales_RP_22!$A$2:$A$14</c:f>
              <c:strCache>
                <c:ptCount val="12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</c:strCache>
            </c:strRef>
          </c:cat>
          <c:val>
            <c:numRef>
              <c:f>Montly_Sales_RP_22!$D$2:$D$14</c:f>
              <c:numCache>
                <c:formatCode>General</c:formatCode>
                <c:ptCount val="12"/>
                <c:pt idx="0">
                  <c:v>959.78</c:v>
                </c:pt>
                <c:pt idx="1">
                  <c:v>1244.9100000000001</c:v>
                </c:pt>
                <c:pt idx="2">
                  <c:v>1201.73</c:v>
                </c:pt>
                <c:pt idx="3">
                  <c:v>1121.48</c:v>
                </c:pt>
                <c:pt idx="4">
                  <c:v>734.89</c:v>
                </c:pt>
                <c:pt idx="5">
                  <c:v>1230.96</c:v>
                </c:pt>
                <c:pt idx="6">
                  <c:v>1250.28</c:v>
                </c:pt>
                <c:pt idx="7">
                  <c:v>1111.02</c:v>
                </c:pt>
                <c:pt idx="8">
                  <c:v>1645.85</c:v>
                </c:pt>
                <c:pt idx="9">
                  <c:v>1708.09</c:v>
                </c:pt>
                <c:pt idx="10">
                  <c:v>1407.12</c:v>
                </c:pt>
                <c:pt idx="11">
                  <c:v>1514.89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F9-41BD-8480-3DE9924FD1A5}"/>
            </c:ext>
          </c:extLst>
        </c:ser>
        <c:ser>
          <c:idx val="3"/>
          <c:order val="3"/>
          <c:tx>
            <c:strRef>
              <c:f>Montly_Sales_RP_22!$E$1</c:f>
              <c:strCache>
                <c:ptCount val="1"/>
                <c:pt idx="0">
                  <c:v> Stationery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Montly_Sales_RP_22!$A$2:$A$14</c:f>
              <c:strCache>
                <c:ptCount val="12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</c:strCache>
            </c:strRef>
          </c:cat>
          <c:val>
            <c:numRef>
              <c:f>Montly_Sales_RP_22!$E$2:$E$14</c:f>
              <c:numCache>
                <c:formatCode>General</c:formatCode>
                <c:ptCount val="12"/>
                <c:pt idx="0">
                  <c:v>1229.6600000000001</c:v>
                </c:pt>
                <c:pt idx="1">
                  <c:v>1028.28</c:v>
                </c:pt>
                <c:pt idx="2">
                  <c:v>1029.43</c:v>
                </c:pt>
                <c:pt idx="3">
                  <c:v>1069.98</c:v>
                </c:pt>
                <c:pt idx="4">
                  <c:v>1101.3</c:v>
                </c:pt>
                <c:pt idx="5">
                  <c:v>1077.8900000000001</c:v>
                </c:pt>
                <c:pt idx="6">
                  <c:v>1076.22</c:v>
                </c:pt>
                <c:pt idx="7">
                  <c:v>1159.4100000000001</c:v>
                </c:pt>
                <c:pt idx="8">
                  <c:v>1087.8699999999999</c:v>
                </c:pt>
                <c:pt idx="9">
                  <c:v>1106.5</c:v>
                </c:pt>
                <c:pt idx="10">
                  <c:v>842.55</c:v>
                </c:pt>
                <c:pt idx="11">
                  <c:v>1220.0899999999999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F9-41BD-8480-3DE9924FD1A5}"/>
            </c:ext>
          </c:extLst>
        </c:ser>
        <c:ser>
          <c:idx val="4"/>
          <c:order val="4"/>
          <c:tx>
            <c:strRef>
              <c:f>Montly_Sales_RP_22!$F$1</c:f>
              <c:strCache>
                <c:ptCount val="1"/>
                <c:pt idx="0">
                  <c:v> Technology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Montly_Sales_RP_22!$A$2:$A$14</c:f>
              <c:strCache>
                <c:ptCount val="12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</c:strCache>
            </c:strRef>
          </c:cat>
          <c:val>
            <c:numRef>
              <c:f>Montly_Sales_RP_22!$F$2:$F$14</c:f>
              <c:numCache>
                <c:formatCode>General</c:formatCode>
                <c:ptCount val="12"/>
                <c:pt idx="0">
                  <c:v>51086.31</c:v>
                </c:pt>
                <c:pt idx="1">
                  <c:v>55437.16</c:v>
                </c:pt>
                <c:pt idx="2">
                  <c:v>59450.9</c:v>
                </c:pt>
                <c:pt idx="3">
                  <c:v>61067.94</c:v>
                </c:pt>
                <c:pt idx="4">
                  <c:v>63897.67</c:v>
                </c:pt>
                <c:pt idx="5">
                  <c:v>62870.8</c:v>
                </c:pt>
                <c:pt idx="6">
                  <c:v>65916.14</c:v>
                </c:pt>
                <c:pt idx="7">
                  <c:v>60144.88</c:v>
                </c:pt>
                <c:pt idx="8">
                  <c:v>56611.33</c:v>
                </c:pt>
                <c:pt idx="9">
                  <c:v>48459.92</c:v>
                </c:pt>
                <c:pt idx="10">
                  <c:v>48103.42</c:v>
                </c:pt>
                <c:pt idx="11">
                  <c:v>52331.32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0F9-41BD-8480-3DE9924FD1A5}"/>
            </c:ext>
          </c:extLst>
        </c:ser>
        <c:ser>
          <c:idx val="5"/>
          <c:order val="5"/>
          <c:tx>
            <c:strRef>
              <c:f>Montly_Sales_RP_22!$G$1</c:f>
              <c:strCache>
                <c:ptCount val="1"/>
                <c:pt idx="0">
                  <c:v> Textbooks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Montly_Sales_RP_22!$A$2:$A$14</c:f>
              <c:strCache>
                <c:ptCount val="12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</c:strCache>
            </c:strRef>
          </c:cat>
          <c:val>
            <c:numRef>
              <c:f>Montly_Sales_RP_22!$G$2:$G$14</c:f>
              <c:numCache>
                <c:formatCode>General</c:formatCode>
                <c:ptCount val="12"/>
                <c:pt idx="0">
                  <c:v>18759.310000000001</c:v>
                </c:pt>
                <c:pt idx="1">
                  <c:v>17180.8</c:v>
                </c:pt>
                <c:pt idx="2">
                  <c:v>15081.54</c:v>
                </c:pt>
                <c:pt idx="3">
                  <c:v>20970.560000000001</c:v>
                </c:pt>
                <c:pt idx="4">
                  <c:v>23019.22</c:v>
                </c:pt>
                <c:pt idx="5">
                  <c:v>17014.080000000002</c:v>
                </c:pt>
                <c:pt idx="6">
                  <c:v>20044.39</c:v>
                </c:pt>
                <c:pt idx="7">
                  <c:v>18613.07</c:v>
                </c:pt>
                <c:pt idx="8">
                  <c:v>19130.099999999999</c:v>
                </c:pt>
                <c:pt idx="9">
                  <c:v>21418.799999999999</c:v>
                </c:pt>
                <c:pt idx="10">
                  <c:v>21834.41</c:v>
                </c:pt>
                <c:pt idx="11">
                  <c:v>17414.009999999998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0F9-41BD-8480-3DE9924FD1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6011087"/>
        <c:axId val="1696012047"/>
      </c:barChart>
      <c:catAx>
        <c:axId val="169601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012047"/>
        <c:crosses val="autoZero"/>
        <c:auto val="1"/>
        <c:lblAlgn val="ctr"/>
        <c:lblOffset val="100"/>
        <c:noMultiLvlLbl val="0"/>
      </c:catAx>
      <c:valAx>
        <c:axId val="169601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01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[Ramirez_Sthefanie_territory_chart.xlsx]Montly_Sales_RP_23!PivotTable6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3127445895610354E-2"/>
          <c:y val="0.12355212355212356"/>
          <c:w val="0.81541020321561597"/>
          <c:h val="0.710819323260268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Montly_Sales_RP_23!$B$1</c:f>
              <c:strCache>
                <c:ptCount val="1"/>
                <c:pt idx="0">
                  <c:v> Apparel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Montly_Sales_RP_23!$A$2:$A$14</c:f>
              <c:strCache>
                <c:ptCount val="12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</c:strCache>
            </c:strRef>
          </c:cat>
          <c:val>
            <c:numRef>
              <c:f>Montly_Sales_RP_23!$B$2:$B$14</c:f>
              <c:numCache>
                <c:formatCode>General</c:formatCode>
                <c:ptCount val="12"/>
                <c:pt idx="0">
                  <c:v>5488.06</c:v>
                </c:pt>
                <c:pt idx="1">
                  <c:v>5924</c:v>
                </c:pt>
                <c:pt idx="2">
                  <c:v>5457.45</c:v>
                </c:pt>
                <c:pt idx="3">
                  <c:v>6244.63</c:v>
                </c:pt>
                <c:pt idx="4">
                  <c:v>5369.74</c:v>
                </c:pt>
                <c:pt idx="5">
                  <c:v>5570.79</c:v>
                </c:pt>
                <c:pt idx="6">
                  <c:v>6184.36</c:v>
                </c:pt>
                <c:pt idx="7">
                  <c:v>5650.73</c:v>
                </c:pt>
                <c:pt idx="8">
                  <c:v>4982.97</c:v>
                </c:pt>
                <c:pt idx="9">
                  <c:v>4774.92</c:v>
                </c:pt>
                <c:pt idx="10">
                  <c:v>5208.09</c:v>
                </c:pt>
                <c:pt idx="11">
                  <c:v>5960.22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3-4A7D-BEAB-B049324E732C}"/>
            </c:ext>
          </c:extLst>
        </c:ser>
        <c:ser>
          <c:idx val="1"/>
          <c:order val="1"/>
          <c:tx>
            <c:strRef>
              <c:f>Montly_Sales_RP_23!$C$1</c:f>
              <c:strCache>
                <c:ptCount val="1"/>
                <c:pt idx="0">
                  <c:v> Art_Supplies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Montly_Sales_RP_23!$A$2:$A$14</c:f>
              <c:strCache>
                <c:ptCount val="12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</c:strCache>
            </c:strRef>
          </c:cat>
          <c:val>
            <c:numRef>
              <c:f>Montly_Sales_RP_23!$C$2:$C$14</c:f>
              <c:numCache>
                <c:formatCode>General</c:formatCode>
                <c:ptCount val="12"/>
                <c:pt idx="0">
                  <c:v>3347.87</c:v>
                </c:pt>
                <c:pt idx="1">
                  <c:v>4884.8500000000004</c:v>
                </c:pt>
                <c:pt idx="2">
                  <c:v>3936.12</c:v>
                </c:pt>
                <c:pt idx="3">
                  <c:v>5120.7700000000004</c:v>
                </c:pt>
                <c:pt idx="4">
                  <c:v>4624.12</c:v>
                </c:pt>
                <c:pt idx="5">
                  <c:v>3907.66</c:v>
                </c:pt>
                <c:pt idx="6">
                  <c:v>5720.6</c:v>
                </c:pt>
                <c:pt idx="7">
                  <c:v>4775.3999999999996</c:v>
                </c:pt>
                <c:pt idx="8">
                  <c:v>3702.86</c:v>
                </c:pt>
                <c:pt idx="9">
                  <c:v>3819.51</c:v>
                </c:pt>
                <c:pt idx="10">
                  <c:v>3735</c:v>
                </c:pt>
                <c:pt idx="11">
                  <c:v>4179.6899999999996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A3-4A7D-BEAB-B049324E732C}"/>
            </c:ext>
          </c:extLst>
        </c:ser>
        <c:ser>
          <c:idx val="2"/>
          <c:order val="2"/>
          <c:tx>
            <c:strRef>
              <c:f>Montly_Sales_RP_23!$D$1</c:f>
              <c:strCache>
                <c:ptCount val="1"/>
                <c:pt idx="0">
                  <c:v> Books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Montly_Sales_RP_23!$A$2:$A$14</c:f>
              <c:strCache>
                <c:ptCount val="12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</c:strCache>
            </c:strRef>
          </c:cat>
          <c:val>
            <c:numRef>
              <c:f>Montly_Sales_RP_23!$D$2:$D$14</c:f>
              <c:numCache>
                <c:formatCode>General</c:formatCode>
                <c:ptCount val="12"/>
                <c:pt idx="0">
                  <c:v>2102.9</c:v>
                </c:pt>
                <c:pt idx="1">
                  <c:v>1325.86</c:v>
                </c:pt>
                <c:pt idx="2">
                  <c:v>1915.66</c:v>
                </c:pt>
                <c:pt idx="3">
                  <c:v>2503.3200000000002</c:v>
                </c:pt>
                <c:pt idx="4">
                  <c:v>2034.94</c:v>
                </c:pt>
                <c:pt idx="5">
                  <c:v>2107.58</c:v>
                </c:pt>
                <c:pt idx="6">
                  <c:v>1641.01</c:v>
                </c:pt>
                <c:pt idx="7">
                  <c:v>2003.58</c:v>
                </c:pt>
                <c:pt idx="8">
                  <c:v>1869.67</c:v>
                </c:pt>
                <c:pt idx="9">
                  <c:v>1726.41</c:v>
                </c:pt>
                <c:pt idx="10">
                  <c:v>2262.5700000000002</c:v>
                </c:pt>
                <c:pt idx="11">
                  <c:v>1860.21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A3-4A7D-BEAB-B049324E732C}"/>
            </c:ext>
          </c:extLst>
        </c:ser>
        <c:ser>
          <c:idx val="3"/>
          <c:order val="3"/>
          <c:tx>
            <c:strRef>
              <c:f>Montly_Sales_RP_23!$E$1</c:f>
              <c:strCache>
                <c:ptCount val="1"/>
                <c:pt idx="0">
                  <c:v> Stationery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Montly_Sales_RP_23!$A$2:$A$14</c:f>
              <c:strCache>
                <c:ptCount val="12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</c:strCache>
            </c:strRef>
          </c:cat>
          <c:val>
            <c:numRef>
              <c:f>Montly_Sales_RP_23!$E$2:$E$14</c:f>
              <c:numCache>
                <c:formatCode>General</c:formatCode>
                <c:ptCount val="12"/>
                <c:pt idx="0">
                  <c:v>1840.79</c:v>
                </c:pt>
                <c:pt idx="1">
                  <c:v>1953.7</c:v>
                </c:pt>
                <c:pt idx="2">
                  <c:v>1852.99</c:v>
                </c:pt>
                <c:pt idx="3">
                  <c:v>2176.7399999999998</c:v>
                </c:pt>
                <c:pt idx="4">
                  <c:v>1628.7</c:v>
                </c:pt>
                <c:pt idx="5">
                  <c:v>1598.18</c:v>
                </c:pt>
                <c:pt idx="6">
                  <c:v>1642.36</c:v>
                </c:pt>
                <c:pt idx="7">
                  <c:v>1875.11</c:v>
                </c:pt>
                <c:pt idx="8">
                  <c:v>1510.31</c:v>
                </c:pt>
                <c:pt idx="9">
                  <c:v>1710.44</c:v>
                </c:pt>
                <c:pt idx="10">
                  <c:v>1782.42</c:v>
                </c:pt>
                <c:pt idx="11">
                  <c:v>1918.14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0A3-4A7D-BEAB-B049324E732C}"/>
            </c:ext>
          </c:extLst>
        </c:ser>
        <c:ser>
          <c:idx val="4"/>
          <c:order val="4"/>
          <c:tx>
            <c:strRef>
              <c:f>Montly_Sales_RP_23!$F$1</c:f>
              <c:strCache>
                <c:ptCount val="1"/>
                <c:pt idx="0">
                  <c:v> Technology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Montly_Sales_RP_23!$A$2:$A$14</c:f>
              <c:strCache>
                <c:ptCount val="12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</c:strCache>
            </c:strRef>
          </c:cat>
          <c:val>
            <c:numRef>
              <c:f>Montly_Sales_RP_23!$F$2:$F$14</c:f>
              <c:numCache>
                <c:formatCode>General</c:formatCode>
                <c:ptCount val="12"/>
                <c:pt idx="0">
                  <c:v>96270.720000000001</c:v>
                </c:pt>
                <c:pt idx="1">
                  <c:v>85240.05</c:v>
                </c:pt>
                <c:pt idx="2">
                  <c:v>80893.27</c:v>
                </c:pt>
                <c:pt idx="3">
                  <c:v>95946.71</c:v>
                </c:pt>
                <c:pt idx="4">
                  <c:v>92938.97</c:v>
                </c:pt>
                <c:pt idx="5">
                  <c:v>75351.12</c:v>
                </c:pt>
                <c:pt idx="6">
                  <c:v>94947.86</c:v>
                </c:pt>
                <c:pt idx="7">
                  <c:v>89396.94</c:v>
                </c:pt>
                <c:pt idx="8">
                  <c:v>95429.33</c:v>
                </c:pt>
                <c:pt idx="9">
                  <c:v>83385.919999999998</c:v>
                </c:pt>
                <c:pt idx="10">
                  <c:v>81940.25</c:v>
                </c:pt>
                <c:pt idx="11">
                  <c:v>70025.240000000005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0A3-4A7D-BEAB-B049324E732C}"/>
            </c:ext>
          </c:extLst>
        </c:ser>
        <c:ser>
          <c:idx val="5"/>
          <c:order val="5"/>
          <c:tx>
            <c:strRef>
              <c:f>Montly_Sales_RP_23!$G$1</c:f>
              <c:strCache>
                <c:ptCount val="1"/>
                <c:pt idx="0">
                  <c:v> Textbooks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Montly_Sales_RP_23!$A$2:$A$14</c:f>
              <c:strCache>
                <c:ptCount val="12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</c:strCache>
            </c:strRef>
          </c:cat>
          <c:val>
            <c:numRef>
              <c:f>Montly_Sales_RP_23!$G$2:$G$14</c:f>
              <c:numCache>
                <c:formatCode>General</c:formatCode>
                <c:ptCount val="12"/>
                <c:pt idx="0">
                  <c:v>18047.349999999999</c:v>
                </c:pt>
                <c:pt idx="1">
                  <c:v>18836.990000000002</c:v>
                </c:pt>
                <c:pt idx="2">
                  <c:v>19280.61</c:v>
                </c:pt>
                <c:pt idx="3">
                  <c:v>19843.16</c:v>
                </c:pt>
                <c:pt idx="4">
                  <c:v>19604.830000000002</c:v>
                </c:pt>
                <c:pt idx="5">
                  <c:v>22210.37</c:v>
                </c:pt>
                <c:pt idx="6">
                  <c:v>26934.65</c:v>
                </c:pt>
                <c:pt idx="7">
                  <c:v>29234.48</c:v>
                </c:pt>
                <c:pt idx="8">
                  <c:v>29527.46</c:v>
                </c:pt>
                <c:pt idx="9">
                  <c:v>23496.1</c:v>
                </c:pt>
                <c:pt idx="10">
                  <c:v>27199.19</c:v>
                </c:pt>
                <c:pt idx="11">
                  <c:v>28495.15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0A3-4A7D-BEAB-B049324E7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6820495"/>
        <c:axId val="1196821455"/>
      </c:barChart>
      <c:catAx>
        <c:axId val="1196820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821455"/>
        <c:crosses val="autoZero"/>
        <c:auto val="1"/>
        <c:lblAlgn val="ctr"/>
        <c:lblOffset val="100"/>
        <c:noMultiLvlLbl val="0"/>
      </c:catAx>
      <c:valAx>
        <c:axId val="119682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820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[Ramirez_Sthefanie_territory_chart.xlsx]Montly_Sales_RP_24!PivotTable7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3892627057981391E-2"/>
          <c:y val="0.14674906143061231"/>
          <c:w val="0.81317275113338106"/>
          <c:h val="0.672247582976178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Montly_Sales_RP_24!$B$1</c:f>
              <c:strCache>
                <c:ptCount val="1"/>
                <c:pt idx="0">
                  <c:v> Apparel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Montly_Sales_RP_24!$A$2:$A$14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Montly_Sales_RP_24!$B$2:$B$14</c:f>
              <c:numCache>
                <c:formatCode>General</c:formatCode>
                <c:ptCount val="12"/>
                <c:pt idx="0">
                  <c:v>6636.16</c:v>
                </c:pt>
                <c:pt idx="1">
                  <c:v>4979.7700000000004</c:v>
                </c:pt>
                <c:pt idx="2">
                  <c:v>6553.73</c:v>
                </c:pt>
                <c:pt idx="3">
                  <c:v>5060.6400000000003</c:v>
                </c:pt>
                <c:pt idx="4">
                  <c:v>5626.71</c:v>
                </c:pt>
                <c:pt idx="5">
                  <c:v>6128.44</c:v>
                </c:pt>
                <c:pt idx="6">
                  <c:v>5650.73</c:v>
                </c:pt>
                <c:pt idx="7">
                  <c:v>5089.51</c:v>
                </c:pt>
                <c:pt idx="8">
                  <c:v>4668.38</c:v>
                </c:pt>
                <c:pt idx="9">
                  <c:v>5434.43</c:v>
                </c:pt>
                <c:pt idx="10">
                  <c:v>5733.88</c:v>
                </c:pt>
                <c:pt idx="11">
                  <c:v>5488.06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1-4D51-A97D-5DA5A9A1768A}"/>
            </c:ext>
          </c:extLst>
        </c:ser>
        <c:ser>
          <c:idx val="1"/>
          <c:order val="1"/>
          <c:tx>
            <c:strRef>
              <c:f>Montly_Sales_RP_24!$C$1</c:f>
              <c:strCache>
                <c:ptCount val="1"/>
                <c:pt idx="0">
                  <c:v> Books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Montly_Sales_RP_24!$A$2:$A$14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Montly_Sales_RP_24!$C$2:$C$14</c:f>
              <c:numCache>
                <c:formatCode>General</c:formatCode>
                <c:ptCount val="12"/>
                <c:pt idx="0">
                  <c:v>1487.43</c:v>
                </c:pt>
                <c:pt idx="1">
                  <c:v>1801.61</c:v>
                </c:pt>
                <c:pt idx="2">
                  <c:v>2503.3200000000002</c:v>
                </c:pt>
                <c:pt idx="3">
                  <c:v>2034.94</c:v>
                </c:pt>
                <c:pt idx="4">
                  <c:v>2176.4</c:v>
                </c:pt>
                <c:pt idx="5">
                  <c:v>1572.19</c:v>
                </c:pt>
                <c:pt idx="6">
                  <c:v>2003.58</c:v>
                </c:pt>
                <c:pt idx="7">
                  <c:v>1890.03</c:v>
                </c:pt>
                <c:pt idx="8">
                  <c:v>1706.05</c:v>
                </c:pt>
                <c:pt idx="9">
                  <c:v>2274.69</c:v>
                </c:pt>
                <c:pt idx="10">
                  <c:v>1848.09</c:v>
                </c:pt>
                <c:pt idx="11">
                  <c:v>2102.9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D1-4D51-A97D-5DA5A9A1768A}"/>
            </c:ext>
          </c:extLst>
        </c:ser>
        <c:ser>
          <c:idx val="2"/>
          <c:order val="2"/>
          <c:tx>
            <c:strRef>
              <c:f>Montly_Sales_RP_24!$D$1</c:f>
              <c:strCache>
                <c:ptCount val="1"/>
                <c:pt idx="0">
                  <c:v> Art_Supplies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Montly_Sales_RP_24!$A$2:$A$14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Montly_Sales_RP_24!$D$2:$D$14</c:f>
              <c:numCache>
                <c:formatCode>General</c:formatCode>
                <c:ptCount val="12"/>
                <c:pt idx="0">
                  <c:v>5427.52</c:v>
                </c:pt>
                <c:pt idx="1">
                  <c:v>3554.75</c:v>
                </c:pt>
                <c:pt idx="2">
                  <c:v>5314.94</c:v>
                </c:pt>
                <c:pt idx="3">
                  <c:v>4429.95</c:v>
                </c:pt>
                <c:pt idx="4">
                  <c:v>4105.8599999999997</c:v>
                </c:pt>
                <c:pt idx="5">
                  <c:v>5522.4</c:v>
                </c:pt>
                <c:pt idx="6">
                  <c:v>4775.3999999999996</c:v>
                </c:pt>
                <c:pt idx="7">
                  <c:v>3805.57</c:v>
                </c:pt>
                <c:pt idx="8">
                  <c:v>3716.8</c:v>
                </c:pt>
                <c:pt idx="9">
                  <c:v>3852.46</c:v>
                </c:pt>
                <c:pt idx="10">
                  <c:v>4062.23</c:v>
                </c:pt>
                <c:pt idx="11">
                  <c:v>3347.87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D1-4D51-A97D-5DA5A9A1768A}"/>
            </c:ext>
          </c:extLst>
        </c:ser>
        <c:ser>
          <c:idx val="3"/>
          <c:order val="3"/>
          <c:tx>
            <c:strRef>
              <c:f>Montly_Sales_RP_24!$E$1</c:f>
              <c:strCache>
                <c:ptCount val="1"/>
                <c:pt idx="0">
                  <c:v> Stationery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Montly_Sales_RP_24!$A$2:$A$14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Montly_Sales_RP_24!$E$2:$E$14</c:f>
              <c:numCache>
                <c:formatCode>General</c:formatCode>
                <c:ptCount val="12"/>
                <c:pt idx="0">
                  <c:v>2144.59</c:v>
                </c:pt>
                <c:pt idx="1">
                  <c:v>1732.58</c:v>
                </c:pt>
                <c:pt idx="2">
                  <c:v>2265.29</c:v>
                </c:pt>
                <c:pt idx="3">
                  <c:v>1540.15</c:v>
                </c:pt>
                <c:pt idx="4">
                  <c:v>1640.71</c:v>
                </c:pt>
                <c:pt idx="5">
                  <c:v>1599.83</c:v>
                </c:pt>
                <c:pt idx="6">
                  <c:v>1875.11</c:v>
                </c:pt>
                <c:pt idx="7">
                  <c:v>1560.65</c:v>
                </c:pt>
                <c:pt idx="8">
                  <c:v>1660.1</c:v>
                </c:pt>
                <c:pt idx="9">
                  <c:v>1813.35</c:v>
                </c:pt>
                <c:pt idx="10">
                  <c:v>1887.21</c:v>
                </c:pt>
                <c:pt idx="11">
                  <c:v>1840.79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D1-4D51-A97D-5DA5A9A1768A}"/>
            </c:ext>
          </c:extLst>
        </c:ser>
        <c:ser>
          <c:idx val="4"/>
          <c:order val="4"/>
          <c:tx>
            <c:strRef>
              <c:f>Montly_Sales_RP_24!$F$1</c:f>
              <c:strCache>
                <c:ptCount val="1"/>
                <c:pt idx="0">
                  <c:v> Technology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Montly_Sales_RP_24!$A$2:$A$14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Montly_Sales_RP_24!$F$2:$F$14</c:f>
              <c:numCache>
                <c:formatCode>General</c:formatCode>
                <c:ptCount val="12"/>
                <c:pt idx="0">
                  <c:v>94414.21</c:v>
                </c:pt>
                <c:pt idx="1">
                  <c:v>73898.37</c:v>
                </c:pt>
                <c:pt idx="2">
                  <c:v>96788</c:v>
                </c:pt>
                <c:pt idx="3">
                  <c:v>92097.68</c:v>
                </c:pt>
                <c:pt idx="4">
                  <c:v>80014.16</c:v>
                </c:pt>
                <c:pt idx="5">
                  <c:v>90284.82</c:v>
                </c:pt>
                <c:pt idx="6">
                  <c:v>89396.94</c:v>
                </c:pt>
                <c:pt idx="7">
                  <c:v>97266.3</c:v>
                </c:pt>
                <c:pt idx="8">
                  <c:v>81548.95</c:v>
                </c:pt>
                <c:pt idx="9">
                  <c:v>82761.61</c:v>
                </c:pt>
                <c:pt idx="10">
                  <c:v>69203.88</c:v>
                </c:pt>
                <c:pt idx="11">
                  <c:v>96270.720000000001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FD1-4D51-A97D-5DA5A9A1768A}"/>
            </c:ext>
          </c:extLst>
        </c:ser>
        <c:ser>
          <c:idx val="5"/>
          <c:order val="5"/>
          <c:tx>
            <c:strRef>
              <c:f>Montly_Sales_RP_24!$G$1</c:f>
              <c:strCache>
                <c:ptCount val="1"/>
                <c:pt idx="0">
                  <c:v> Textbooks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Montly_Sales_RP_24!$A$2:$A$14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Montly_Sales_RP_24!$G$2:$G$14</c:f>
              <c:numCache>
                <c:formatCode>General</c:formatCode>
                <c:ptCount val="12"/>
                <c:pt idx="0">
                  <c:v>20397.919999999998</c:v>
                </c:pt>
                <c:pt idx="1">
                  <c:v>18603.73</c:v>
                </c:pt>
                <c:pt idx="2">
                  <c:v>20382.919999999998</c:v>
                </c:pt>
                <c:pt idx="3">
                  <c:v>19065.07</c:v>
                </c:pt>
                <c:pt idx="4">
                  <c:v>22873.49</c:v>
                </c:pt>
                <c:pt idx="5">
                  <c:v>26271.53</c:v>
                </c:pt>
                <c:pt idx="6">
                  <c:v>29234.48</c:v>
                </c:pt>
                <c:pt idx="7">
                  <c:v>29773.16</c:v>
                </c:pt>
                <c:pt idx="8">
                  <c:v>23250.400000000001</c:v>
                </c:pt>
                <c:pt idx="9">
                  <c:v>28067.7</c:v>
                </c:pt>
                <c:pt idx="10">
                  <c:v>27626.639999999999</c:v>
                </c:pt>
                <c:pt idx="11">
                  <c:v>18047.349999999999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FD1-4D51-A97D-5DA5A9A17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9484831"/>
        <c:axId val="1819484351"/>
      </c:barChart>
      <c:catAx>
        <c:axId val="181948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484351"/>
        <c:crosses val="autoZero"/>
        <c:auto val="1"/>
        <c:lblAlgn val="ctr"/>
        <c:lblOffset val="100"/>
        <c:noMultiLvlLbl val="0"/>
      </c:catAx>
      <c:valAx>
        <c:axId val="181948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48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[Ramirez_Sthefanie_territory_chart.xlsx]Montly_Sales_RP_25!PivotTable8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59004870584073E-2"/>
          <c:y val="0.1303370786516854"/>
          <c:w val="0.82116608520381651"/>
          <c:h val="0.690346987525435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Montly_Sales_RP_25!$B$1</c:f>
              <c:strCache>
                <c:ptCount val="1"/>
                <c:pt idx="0">
                  <c:v> Apparel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Montly_Sales_RP_25!$A$2:$A$14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Montly_Sales_RP_25!$B$2:$B$14</c:f>
              <c:numCache>
                <c:formatCode>General</c:formatCode>
                <c:ptCount val="12"/>
                <c:pt idx="0">
                  <c:v>11060.32</c:v>
                </c:pt>
                <c:pt idx="1">
                  <c:v>9009.19</c:v>
                </c:pt>
                <c:pt idx="2">
                  <c:v>9456.3700000000008</c:v>
                </c:pt>
                <c:pt idx="3">
                  <c:v>12929.77</c:v>
                </c:pt>
                <c:pt idx="4">
                  <c:v>14308.74</c:v>
                </c:pt>
                <c:pt idx="5">
                  <c:v>14545.92</c:v>
                </c:pt>
                <c:pt idx="6">
                  <c:v>9013.64</c:v>
                </c:pt>
                <c:pt idx="7">
                  <c:v>8361.7999999999993</c:v>
                </c:pt>
                <c:pt idx="8">
                  <c:v>8783.94</c:v>
                </c:pt>
                <c:pt idx="9">
                  <c:v>13414.3</c:v>
                </c:pt>
                <c:pt idx="10">
                  <c:v>8109.53</c:v>
                </c:pt>
                <c:pt idx="11">
                  <c:v>9668.7000000000007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50-4EA3-8FEA-EC5E6EC3B2EF}"/>
            </c:ext>
          </c:extLst>
        </c:ser>
        <c:ser>
          <c:idx val="1"/>
          <c:order val="1"/>
          <c:tx>
            <c:strRef>
              <c:f>Montly_Sales_RP_25!$C$1</c:f>
              <c:strCache>
                <c:ptCount val="1"/>
                <c:pt idx="0">
                  <c:v> Art_Supplies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Montly_Sales_RP_25!$A$2:$A$14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Montly_Sales_RP_25!$C$2:$C$14</c:f>
              <c:numCache>
                <c:formatCode>General</c:formatCode>
                <c:ptCount val="12"/>
                <c:pt idx="0">
                  <c:v>9497.33</c:v>
                </c:pt>
                <c:pt idx="1">
                  <c:v>7018.05</c:v>
                </c:pt>
                <c:pt idx="2">
                  <c:v>8656.48</c:v>
                </c:pt>
                <c:pt idx="3">
                  <c:v>11310.65</c:v>
                </c:pt>
                <c:pt idx="4">
                  <c:v>11924.65</c:v>
                </c:pt>
                <c:pt idx="5">
                  <c:v>10772.21</c:v>
                </c:pt>
                <c:pt idx="6">
                  <c:v>6169.08</c:v>
                </c:pt>
                <c:pt idx="7">
                  <c:v>7645.61</c:v>
                </c:pt>
                <c:pt idx="8">
                  <c:v>7283.78</c:v>
                </c:pt>
                <c:pt idx="9">
                  <c:v>10562.4</c:v>
                </c:pt>
                <c:pt idx="10">
                  <c:v>7482.93</c:v>
                </c:pt>
                <c:pt idx="11">
                  <c:v>7612.67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50-4EA3-8FEA-EC5E6EC3B2EF}"/>
            </c:ext>
          </c:extLst>
        </c:ser>
        <c:ser>
          <c:idx val="2"/>
          <c:order val="2"/>
          <c:tx>
            <c:strRef>
              <c:f>Montly_Sales_RP_25!$D$1</c:f>
              <c:strCache>
                <c:ptCount val="1"/>
                <c:pt idx="0">
                  <c:v> Books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Montly_Sales_RP_25!$A$2:$A$14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Montly_Sales_RP_25!$D$2:$D$14</c:f>
              <c:numCache>
                <c:formatCode>General</c:formatCode>
                <c:ptCount val="12"/>
                <c:pt idx="0">
                  <c:v>3653.6</c:v>
                </c:pt>
                <c:pt idx="1">
                  <c:v>2918.32</c:v>
                </c:pt>
                <c:pt idx="2">
                  <c:v>3839.4</c:v>
                </c:pt>
                <c:pt idx="3">
                  <c:v>4480.54</c:v>
                </c:pt>
                <c:pt idx="4">
                  <c:v>5341.24</c:v>
                </c:pt>
                <c:pt idx="5">
                  <c:v>4565.54</c:v>
                </c:pt>
                <c:pt idx="6">
                  <c:v>3243.61</c:v>
                </c:pt>
                <c:pt idx="7">
                  <c:v>2998.39</c:v>
                </c:pt>
                <c:pt idx="8">
                  <c:v>3120.1</c:v>
                </c:pt>
                <c:pt idx="9">
                  <c:v>4909.59</c:v>
                </c:pt>
                <c:pt idx="10">
                  <c:v>3130.52</c:v>
                </c:pt>
                <c:pt idx="11">
                  <c:v>3320.63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50-4EA3-8FEA-EC5E6EC3B2EF}"/>
            </c:ext>
          </c:extLst>
        </c:ser>
        <c:ser>
          <c:idx val="3"/>
          <c:order val="3"/>
          <c:tx>
            <c:strRef>
              <c:f>Montly_Sales_RP_25!$E$1</c:f>
              <c:strCache>
                <c:ptCount val="1"/>
                <c:pt idx="0">
                  <c:v> Stationery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Montly_Sales_RP_25!$A$2:$A$14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Montly_Sales_RP_25!$E$2:$E$14</c:f>
              <c:numCache>
                <c:formatCode>General</c:formatCode>
                <c:ptCount val="12"/>
                <c:pt idx="0">
                  <c:v>3888.98</c:v>
                </c:pt>
                <c:pt idx="1">
                  <c:v>3067.68</c:v>
                </c:pt>
                <c:pt idx="2">
                  <c:v>3185.88</c:v>
                </c:pt>
                <c:pt idx="3">
                  <c:v>4856.1899999999996</c:v>
                </c:pt>
                <c:pt idx="4">
                  <c:v>4509.87</c:v>
                </c:pt>
                <c:pt idx="5">
                  <c:v>4538.95</c:v>
                </c:pt>
                <c:pt idx="6">
                  <c:v>2958.09</c:v>
                </c:pt>
                <c:pt idx="7">
                  <c:v>2709.34</c:v>
                </c:pt>
                <c:pt idx="8">
                  <c:v>2523.5700000000002</c:v>
                </c:pt>
                <c:pt idx="9">
                  <c:v>4294.84</c:v>
                </c:pt>
                <c:pt idx="10">
                  <c:v>2916.37</c:v>
                </c:pt>
                <c:pt idx="11">
                  <c:v>2953.44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50-4EA3-8FEA-EC5E6EC3B2EF}"/>
            </c:ext>
          </c:extLst>
        </c:ser>
        <c:ser>
          <c:idx val="4"/>
          <c:order val="4"/>
          <c:tx>
            <c:strRef>
              <c:f>Montly_Sales_RP_25!$F$1</c:f>
              <c:strCache>
                <c:ptCount val="1"/>
                <c:pt idx="0">
                  <c:v> Technology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Montly_Sales_RP_25!$A$2:$A$14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Montly_Sales_RP_25!$F$2:$F$14</c:f>
              <c:numCache>
                <c:formatCode>General</c:formatCode>
                <c:ptCount val="12"/>
                <c:pt idx="0">
                  <c:v>138621.67000000001</c:v>
                </c:pt>
                <c:pt idx="1">
                  <c:v>131269.65</c:v>
                </c:pt>
                <c:pt idx="2">
                  <c:v>136640.48000000001</c:v>
                </c:pt>
                <c:pt idx="3">
                  <c:v>102381.4</c:v>
                </c:pt>
                <c:pt idx="4">
                  <c:v>118406.29</c:v>
                </c:pt>
                <c:pt idx="5">
                  <c:v>99140.64</c:v>
                </c:pt>
                <c:pt idx="6">
                  <c:v>156807.07999999999</c:v>
                </c:pt>
                <c:pt idx="7">
                  <c:v>161517.13</c:v>
                </c:pt>
                <c:pt idx="8">
                  <c:v>150733.42000000001</c:v>
                </c:pt>
                <c:pt idx="9">
                  <c:v>257001.19</c:v>
                </c:pt>
                <c:pt idx="10">
                  <c:v>175539.20000000001</c:v>
                </c:pt>
                <c:pt idx="11">
                  <c:v>154975.51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A50-4EA3-8FEA-EC5E6EC3B2EF}"/>
            </c:ext>
          </c:extLst>
        </c:ser>
        <c:ser>
          <c:idx val="5"/>
          <c:order val="5"/>
          <c:tx>
            <c:strRef>
              <c:f>Montly_Sales_RP_25!$G$1</c:f>
              <c:strCache>
                <c:ptCount val="1"/>
                <c:pt idx="0">
                  <c:v> Textbooks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Montly_Sales_RP_25!$A$2:$A$14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Montly_Sales_RP_25!$G$2:$G$14</c:f>
              <c:numCache>
                <c:formatCode>General</c:formatCode>
                <c:ptCount val="12"/>
                <c:pt idx="0">
                  <c:v>14284.15</c:v>
                </c:pt>
                <c:pt idx="1">
                  <c:v>12443.31</c:v>
                </c:pt>
                <c:pt idx="2">
                  <c:v>21365.7</c:v>
                </c:pt>
                <c:pt idx="3">
                  <c:v>32895.31</c:v>
                </c:pt>
                <c:pt idx="4">
                  <c:v>31827.87</c:v>
                </c:pt>
                <c:pt idx="5">
                  <c:v>33683.379999999997</c:v>
                </c:pt>
                <c:pt idx="6">
                  <c:v>26449.08</c:v>
                </c:pt>
                <c:pt idx="7">
                  <c:v>26359.360000000001</c:v>
                </c:pt>
                <c:pt idx="8">
                  <c:v>23670.13</c:v>
                </c:pt>
                <c:pt idx="9">
                  <c:v>40580.5</c:v>
                </c:pt>
                <c:pt idx="10">
                  <c:v>23062.18</c:v>
                </c:pt>
                <c:pt idx="11">
                  <c:v>29740.799999999999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50-4EA3-8FEA-EC5E6EC3B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4503567"/>
        <c:axId val="2134501167"/>
      </c:barChart>
      <c:catAx>
        <c:axId val="213450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501167"/>
        <c:crosses val="autoZero"/>
        <c:auto val="1"/>
        <c:lblAlgn val="ctr"/>
        <c:lblOffset val="100"/>
        <c:noMultiLvlLbl val="0"/>
      </c:catAx>
      <c:valAx>
        <c:axId val="213450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503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Vert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Vert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</xdr:row>
      <xdr:rowOff>171450</xdr:rowOff>
    </xdr:from>
    <xdr:to>
      <xdr:col>9</xdr:col>
      <xdr:colOff>603250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838DF1-ECCE-E3B9-57F6-A238FAE306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292099</xdr:colOff>
      <xdr:row>0</xdr:row>
      <xdr:rowOff>49213</xdr:rowOff>
    </xdr:from>
    <xdr:to>
      <xdr:col>8</xdr:col>
      <xdr:colOff>1119188</xdr:colOff>
      <xdr:row>8</xdr:row>
      <xdr:rowOff>15874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B9021C-8A24-2C23-5ADD-3B19AE40FF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44450</xdr:rowOff>
    </xdr:from>
    <xdr:to>
      <xdr:col>9</xdr:col>
      <xdr:colOff>292100</xdr:colOff>
      <xdr:row>34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DA414F-AFF3-3C40-C33D-E2781B4B88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0.31321</cdr:x>
      <cdr:y>0.01431</cdr:y>
    </cdr:from>
    <cdr:to>
      <cdr:x>0.58651</cdr:x>
      <cdr:y>0.13454</cdr:y>
    </cdr:to>
    <cdr:pic>
      <cdr:nvPicPr>
        <cdr:cNvPr id="5" name="chart">
          <a:extLst xmlns:a="http://schemas.openxmlformats.org/drawingml/2006/main">
            <a:ext uri="{FF2B5EF4-FFF2-40B4-BE49-F238E27FC236}">
              <a16:creationId xmlns:a16="http://schemas.microsoft.com/office/drawing/2014/main" id="{00242B10-BAC4-7A8B-BAFC-97E29B33F1F2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2997200" y="50800"/>
          <a:ext cx="2615411" cy="426757"/>
        </a:xfrm>
        <a:prstGeom xmlns:a="http://schemas.openxmlformats.org/drawingml/2006/main" prst="rect">
          <a:avLst/>
        </a:prstGeom>
      </cdr:spPr>
    </cdr:pic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95250</xdr:rowOff>
    </xdr:from>
    <xdr:to>
      <xdr:col>9</xdr:col>
      <xdr:colOff>82550</xdr:colOff>
      <xdr:row>32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00F1BE-30D9-38A5-A896-DA58EE27F9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0.31886</cdr:x>
      <cdr:y>0.00965</cdr:y>
    </cdr:from>
    <cdr:to>
      <cdr:x>0.62715</cdr:x>
      <cdr:y>0.13939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39ABA934-46F4-0921-C1A0-B7D2C02581C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2705100" y="31750"/>
          <a:ext cx="2615411" cy="426757"/>
        </a:xfrm>
        <a:prstGeom xmlns:a="http://schemas.openxmlformats.org/drawingml/2006/main" prst="rect">
          <a:avLst/>
        </a:prstGeom>
      </cdr:spPr>
    </cdr:pic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82550</xdr:colOff>
      <xdr:row>14</xdr:row>
      <xdr:rowOff>127000</xdr:rowOff>
    </xdr:from>
    <xdr:to>
      <xdr:col>9</xdr:col>
      <xdr:colOff>463550</xdr:colOff>
      <xdr:row>31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E971C6-A4C0-200A-2879-757040939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0.32727</cdr:x>
      <cdr:y>0</cdr:y>
    </cdr:from>
    <cdr:to>
      <cdr:x>0.6393</cdr:x>
      <cdr:y>0.14178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65238861-F986-0FA7-B8FD-A8EA69693AEF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2743200" y="0"/>
          <a:ext cx="2615411" cy="426757"/>
        </a:xfrm>
        <a:prstGeom xmlns:a="http://schemas.openxmlformats.org/drawingml/2006/main" prst="rect">
          <a:avLst/>
        </a:prstGeom>
      </cdr:spPr>
    </cdr:pic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14</xdr:row>
      <xdr:rowOff>107950</xdr:rowOff>
    </xdr:from>
    <xdr:to>
      <xdr:col>9</xdr:col>
      <xdr:colOff>50800</xdr:colOff>
      <xdr:row>29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13029-5BD5-9C1B-3829-A9F8A694B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0.30602</cdr:x>
      <cdr:y>0.02022</cdr:y>
    </cdr:from>
    <cdr:to>
      <cdr:x>0.6047</cdr:x>
      <cdr:y>0.17125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4C33E868-181C-FDA3-2F33-772628290779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2679700" y="57150"/>
          <a:ext cx="2615411" cy="426757"/>
        </a:xfrm>
        <a:prstGeom xmlns:a="http://schemas.openxmlformats.org/drawingml/2006/main" prst="rect">
          <a:avLst/>
        </a:prstGeom>
      </cdr:spPr>
    </cdr:pic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Ramirez_Sthefanie_sales_analysis..csv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2" Type="http://schemas.openxmlformats.org/officeDocument/2006/relationships/externalLinkPath" Target="Ramirez_Sthefanie_sales_analysis..csv" TargetMode="External"/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hef" refreshedDate="46142.896181018521" createdVersion="8" refreshedVersion="8" minRefreshableVersion="3" recordCount="12" xr:uid="{CB59BEAC-46C6-4AF8-A133-9F4A3104470D}">
  <cacheSource type="worksheet">
    <worksheetSource ref="A1:K13" sheet="Montly_Sales_RP_22"/>
  </cacheSource>
  <cacheFields count="10">
    <cacheField name="Monthly_Sales" numFmtId="0">
      <sharedItems count="12"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</sharedItems>
    </cacheField>
    <cacheField name="Transactions" numFmtId="0">
      <sharedItems containsSemiMixedTypes="0" containsString="0" containsNumber="1" containsInteger="1" minValue="523" maxValue="613"/>
    </cacheField>
    <cacheField name="Revenue" numFmtId="0">
      <sharedItems containsSemiMixedTypes="0" containsString="0" containsNumber="1" minValue="76920.06" maxValue="94892.89"/>
    </cacheField>
    <cacheField name="Average_Revenue" numFmtId="0">
      <sharedItems containsSemiMixedTypes="0" containsString="0" containsNumber="1" minValue="128.3963" maxValue="159.94049999999999"/>
    </cacheField>
    <cacheField name="Apparel" numFmtId="0">
      <sharedItems containsSemiMixedTypes="0" containsString="0" containsNumber="1" minValue="2199.75" maxValue="3636.6"/>
    </cacheField>
    <cacheField name="Art_Supplies" numFmtId="0">
      <sharedItems containsSemiMixedTypes="0" containsString="0" containsNumber="1" minValue="1726.3" maxValue="3224.79"/>
    </cacheField>
    <cacheField name="Books" numFmtId="0">
      <sharedItems containsSemiMixedTypes="0" containsString="0" containsNumber="1" minValue="734.89" maxValue="1708.09"/>
    </cacheField>
    <cacheField name="Stationery" numFmtId="0">
      <sharedItems containsSemiMixedTypes="0" containsString="0" containsNumber="1" minValue="842.55" maxValue="1229.6600000000001"/>
    </cacheField>
    <cacheField name="Technology" numFmtId="0">
      <sharedItems containsSemiMixedTypes="0" containsString="0" containsNumber="1" minValue="48103.42" maxValue="65916.14"/>
    </cacheField>
    <cacheField name="Textbooks" numFmtId="0">
      <sharedItems containsSemiMixedTypes="0" containsString="0" containsNumber="1" minValue="15081.54" maxValue="23019.2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hef" refreshedDate="46142.90360474537" createdVersion="8" refreshedVersion="8" minRefreshableVersion="3" recordCount="12" xr:uid="{18B826B0-8985-4276-9F89-B973B2743E44}">
  <cacheSource type="worksheet">
    <worksheetSource ref="A1:J13" sheet="Montly_Sales_RP_233" r:id="rId2"/>
  </cacheSource>
  <cacheFields count="10">
    <cacheField name="Monthly_Sales" numFmtId="0">
      <sharedItems count="12"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</sharedItems>
    </cacheField>
    <cacheField name="Transactions" numFmtId="0">
      <sharedItems containsSemiMixedTypes="0" containsString="0" containsNumber="1" containsInteger="1" minValue="828" maxValue="959"/>
    </cacheField>
    <cacheField name="Revenue" numFmtId="0">
      <sharedItems containsSemiMixedTypes="0" containsString="0" containsNumber="1" minValue="110745.7" maxValue="137070.84"/>
    </cacheField>
    <cacheField name="Average_Revenue" numFmtId="0">
      <sharedItems containsSemiMixedTypes="0" containsString="0" containsNumber="1" minValue="123.4233" maxValue="161.3929"/>
    </cacheField>
    <cacheField name="Apparel" numFmtId="0">
      <sharedItems containsSemiMixedTypes="0" containsString="0" containsNumber="1" minValue="4774.92" maxValue="6244.63"/>
    </cacheField>
    <cacheField name="Art_Supplies" numFmtId="0">
      <sharedItems containsSemiMixedTypes="0" containsString="0" containsNumber="1" minValue="3347.87" maxValue="5720.6"/>
    </cacheField>
    <cacheField name="Books" numFmtId="0">
      <sharedItems containsSemiMixedTypes="0" containsString="0" containsNumber="1" minValue="1325.86" maxValue="2503.3200000000002"/>
    </cacheField>
    <cacheField name="Stationery" numFmtId="0">
      <sharedItems containsSemiMixedTypes="0" containsString="0" containsNumber="1" minValue="1510.31" maxValue="2176.7399999999998"/>
    </cacheField>
    <cacheField name="Technology" numFmtId="0">
      <sharedItems containsSemiMixedTypes="0" containsString="0" containsNumber="1" minValue="70025.240000000005" maxValue="96270.720000000001"/>
    </cacheField>
    <cacheField name="Textbooks" numFmtId="0">
      <sharedItems containsSemiMixedTypes="0" containsString="0" containsNumber="1" minValue="18047.349999999999" maxValue="29527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hef" refreshedDate="46142.907880902778" createdVersion="8" refreshedVersion="8" minRefreshableVersion="3" recordCount="12" xr:uid="{014BBFAD-5B81-4539-884B-2D2D5103C3A2}">
  <cacheSource type="worksheet">
    <worksheetSource ref="A1:J13" sheet="Montly_Sales_RP_24"/>
  </cacheSource>
  <cacheFields count="10">
    <cacheField name="Monthly_Sales" numFmtId="0">
      <sharedItems count="12"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</sharedItems>
    </cacheField>
    <cacheField name="Transactions" numFmtId="0">
      <sharedItems containsSemiMixedTypes="0" containsString="0" containsNumber="1" containsInteger="1" minValue="764" maxValue="989"/>
    </cacheField>
    <cacheField name="Revenue" numFmtId="0">
      <sharedItems containsSemiMixedTypes="0" containsString="0" containsNumber="1" minValue="104570.81" maxValue="139385.22"/>
    </cacheField>
    <cacheField name="Average_Revenue" numFmtId="0">
      <sharedItems containsSemiMixedTypes="0" containsString="0" containsNumber="1" minValue="124.70269999999999" maxValue="159.66229999999999"/>
    </cacheField>
    <cacheField name="Apparel" numFmtId="0">
      <sharedItems containsSemiMixedTypes="0" containsString="0" containsNumber="1" minValue="4668.38" maxValue="6636.16"/>
    </cacheField>
    <cacheField name="Art_Supplies" numFmtId="0">
      <sharedItems containsSemiMixedTypes="0" containsString="0" containsNumber="1" minValue="3347.87" maxValue="5522.4"/>
    </cacheField>
    <cacheField name="Books" numFmtId="0">
      <sharedItems containsSemiMixedTypes="0" containsString="0" containsNumber="1" minValue="1487.43" maxValue="2503.3200000000002"/>
    </cacheField>
    <cacheField name="Stationery" numFmtId="0">
      <sharedItems containsSemiMixedTypes="0" containsString="0" containsNumber="1" minValue="1540.15" maxValue="2265.29"/>
    </cacheField>
    <cacheField name="Technology" numFmtId="0">
      <sharedItems containsSemiMixedTypes="0" containsString="0" containsNumber="1" minValue="69203.88" maxValue="97266.3"/>
    </cacheField>
    <cacheField name="Textbooks" numFmtId="0">
      <sharedItems containsSemiMixedTypes="0" containsString="0" containsNumber="1" minValue="18047.349999999999" maxValue="29773.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hef" refreshedDate="46142.909723263889" createdVersion="8" refreshedVersion="8" minRefreshableVersion="3" recordCount="12" xr:uid="{FFBEE906-9990-4756-B8FC-653105EF0AB5}">
  <cacheSource type="worksheet">
    <worksheetSource ref="A1:J13" sheet="Montly_Sales_RP_25"/>
  </cacheSource>
  <cacheFields count="10">
    <cacheField name="Monthly_Sales" numFmtId="0">
      <sharedItems count="12"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</sharedItems>
    </cacheField>
    <cacheField name="Transactions" numFmtId="0">
      <sharedItems containsSemiMixedTypes="0" containsString="0" containsNumber="1" containsInteger="1" minValue="1210" maxValue="2093"/>
    </cacheField>
    <cacheField name="Revenue" numFmtId="0">
      <sharedItems containsSemiMixedTypes="0" containsString="0" containsNumber="1" minValue="165726.20000000001" maxValue="330762.82"/>
    </cacheField>
    <cacheField name="Average_Revenue" numFmtId="0">
      <sharedItems containsSemiMixedTypes="0" containsString="0" containsNumber="1" minValue="93.807699999999997" maxValue="158.03290000000001"/>
    </cacheField>
    <cacheField name="Apparel" numFmtId="0">
      <sharedItems containsSemiMixedTypes="0" containsString="0" containsNumber="1" minValue="8109.53" maxValue="14545.92"/>
    </cacheField>
    <cacheField name="Art_Supplies" numFmtId="0">
      <sharedItems containsSemiMixedTypes="0" containsString="0" containsNumber="1" minValue="6169.08" maxValue="11924.65"/>
    </cacheField>
    <cacheField name="Books" numFmtId="0">
      <sharedItems containsSemiMixedTypes="0" containsString="0" containsNumber="1" minValue="2918.32" maxValue="5341.24"/>
    </cacheField>
    <cacheField name="Stationery" numFmtId="0">
      <sharedItems containsSemiMixedTypes="0" containsString="0" containsNumber="1" minValue="2523.5700000000002" maxValue="4856.1899999999996"/>
    </cacheField>
    <cacheField name="Technology" numFmtId="0">
      <sharedItems containsSemiMixedTypes="0" containsString="0" containsNumber="1" minValue="99140.64" maxValue="257001.19"/>
    </cacheField>
    <cacheField name="Textbooks" numFmtId="0">
      <sharedItems containsSemiMixedTypes="0" containsString="0" containsNumber="1" minValue="12443.31" maxValue="40580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hef" refreshedDate="46142.914568287037" createdVersion="8" refreshedVersion="8" minRefreshableVersion="3" recordCount="4" xr:uid="{3158BE06-A0EE-43B3-BDD8-E05E2BA4ADE4}">
  <cacheSource type="worksheet">
    <worksheetSource ref="A4:H8" sheet="Sheet14" r:id="rId2"/>
  </cacheSource>
  <cacheFields count="8">
    <cacheField name="Year" numFmtId="0">
      <sharedItems count="4">
        <s v="2022"/>
        <s v="2023"/>
        <s v="2024"/>
        <s v="2025"/>
      </sharedItems>
    </cacheField>
    <cacheField name="Apparel" numFmtId="168">
      <sharedItems containsSemiMixedTypes="0" containsString="0" containsNumber="1" minValue="37030.89" maxValue="128662.22"/>
    </cacheField>
    <cacheField name="Art Supplies" numFmtId="168">
      <sharedItems containsSemiMixedTypes="0" containsString="0" containsNumber="1" minValue="30306.37" maxValue="105935.84"/>
    </cacheField>
    <cacheField name="Books" numFmtId="168">
      <sharedItems containsSemiMixedTypes="0" containsString="0" containsNumber="1" minValue="15131" maxValue="45521.48"/>
    </cacheField>
    <cacheField name="Stationery" numFmtId="168">
      <sharedItems containsSemiMixedTypes="0" containsString="0" containsNumber="1" minValue="13029.18" maxValue="42403.199999999997"/>
    </cacheField>
    <cacheField name="Technology" numFmtId="168">
      <sharedItems containsSemiMixedTypes="0" containsString="0" containsNumber="1" minValue="685377.79" maxValue="1783033.66"/>
    </cacheField>
    <cacheField name="Textbooks" numFmtId="168">
      <sharedItems containsSemiMixedTypes="0" containsString="0" containsNumber="1" minValue="230480.29" maxValue="316361.77"/>
    </cacheField>
    <cacheField name="Total" numFmtId="168">
      <sharedItems containsSemiMixedTypes="0" containsString="0" containsNumber="1" minValue="1011355.52" maxValue="2421918.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578"/>
    <n v="77950.98"/>
    <n v="134.86330000000001"/>
    <n v="3632.4"/>
    <n v="2283.52"/>
    <n v="959.78"/>
    <n v="1229.6600000000001"/>
    <n v="51086.31"/>
    <n v="18759.310000000001"/>
  </r>
  <r>
    <x v="1"/>
    <n v="570"/>
    <n v="80315.69"/>
    <n v="140.90469999999999"/>
    <n v="2199.75"/>
    <n v="3224.79"/>
    <n v="1244.9100000000001"/>
    <n v="1028.28"/>
    <n v="55437.16"/>
    <n v="17180.8"/>
  </r>
  <r>
    <x v="2"/>
    <n v="553"/>
    <n v="82516.36"/>
    <n v="149.2158"/>
    <n v="3133.64"/>
    <n v="2619.12"/>
    <n v="1201.73"/>
    <n v="1029.43"/>
    <n v="59450.9"/>
    <n v="15081.54"/>
  </r>
  <r>
    <x v="3"/>
    <n v="571"/>
    <n v="89350.31"/>
    <n v="156.4804"/>
    <n v="3189.07"/>
    <n v="1931.28"/>
    <n v="1121.48"/>
    <n v="1069.98"/>
    <n v="61067.94"/>
    <n v="20970.560000000001"/>
  </r>
  <r>
    <x v="4"/>
    <n v="610"/>
    <n v="94892.89"/>
    <n v="155.56209999999999"/>
    <n v="3132.81"/>
    <n v="3007"/>
    <n v="734.89"/>
    <n v="1101.3"/>
    <n v="63897.67"/>
    <n v="23019.22"/>
  </r>
  <r>
    <x v="5"/>
    <n v="543"/>
    <n v="86847.7"/>
    <n v="159.94049999999999"/>
    <n v="2927.67"/>
    <n v="1726.3"/>
    <n v="1230.96"/>
    <n v="1077.8900000000001"/>
    <n v="62870.8"/>
    <n v="17014.080000000002"/>
  </r>
  <r>
    <x v="6"/>
    <n v="600"/>
    <n v="94048.49"/>
    <n v="156.7475"/>
    <n v="2881.63"/>
    <n v="2879.83"/>
    <n v="1250.28"/>
    <n v="1076.22"/>
    <n v="65916.14"/>
    <n v="20044.39"/>
  </r>
  <r>
    <x v="7"/>
    <n v="573"/>
    <n v="87058.36"/>
    <n v="151.93430000000001"/>
    <n v="3582.97"/>
    <n v="2447.0100000000002"/>
    <n v="1111.02"/>
    <n v="1159.4100000000001"/>
    <n v="60144.88"/>
    <n v="18613.07"/>
  </r>
  <r>
    <x v="8"/>
    <n v="586"/>
    <n v="84206.09"/>
    <n v="143.69640000000001"/>
    <n v="2942.9"/>
    <n v="2788.04"/>
    <n v="1645.85"/>
    <n v="1087.8699999999999"/>
    <n v="56611.33"/>
    <n v="19130.099999999999"/>
  </r>
  <r>
    <x v="9"/>
    <n v="613"/>
    <n v="78706.960000000006"/>
    <n v="128.3963"/>
    <n v="3229.48"/>
    <n v="2784.17"/>
    <n v="1708.09"/>
    <n v="1106.5"/>
    <n v="48459.92"/>
    <n v="21418.799999999999"/>
  </r>
  <r>
    <x v="10"/>
    <n v="523"/>
    <n v="76920.06"/>
    <n v="147.07470000000001"/>
    <n v="2541.9699999999998"/>
    <n v="2190.59"/>
    <n v="1407.12"/>
    <n v="842.55"/>
    <n v="48103.42"/>
    <n v="21834.41"/>
  </r>
  <r>
    <x v="11"/>
    <n v="584"/>
    <n v="78541.63"/>
    <n v="134.48910000000001"/>
    <n v="3636.6"/>
    <n v="2424.7199999999998"/>
    <n v="1514.89"/>
    <n v="1220.0899999999999"/>
    <n v="52331.32"/>
    <n v="17414.00999999999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855"/>
    <n v="127097.69"/>
    <n v="148.6523"/>
    <n v="5488.06"/>
    <n v="3347.87"/>
    <n v="2102.9"/>
    <n v="1840.79"/>
    <n v="96270.720000000001"/>
    <n v="18047.349999999999"/>
  </r>
  <r>
    <x v="1"/>
    <n v="862"/>
    <n v="118165.45"/>
    <n v="137.0829"/>
    <n v="5924"/>
    <n v="4884.8500000000004"/>
    <n v="1325.86"/>
    <n v="1953.7"/>
    <n v="85240.05"/>
    <n v="18836.990000000002"/>
  </r>
  <r>
    <x v="2"/>
    <n v="828"/>
    <n v="113336.1"/>
    <n v="136.8793"/>
    <n v="5457.45"/>
    <n v="3936.12"/>
    <n v="1915.66"/>
    <n v="1852.99"/>
    <n v="80893.27"/>
    <n v="19280.61"/>
  </r>
  <r>
    <x v="3"/>
    <n v="959"/>
    <n v="131835.32999999999"/>
    <n v="137.4717"/>
    <n v="6244.63"/>
    <n v="5120.7700000000004"/>
    <n v="2503.3200000000002"/>
    <n v="2176.7399999999998"/>
    <n v="95946.71"/>
    <n v="19843.16"/>
  </r>
  <r>
    <x v="4"/>
    <n v="849"/>
    <n v="126201.3"/>
    <n v="148.64699999999999"/>
    <n v="5369.74"/>
    <n v="4624.12"/>
    <n v="2034.94"/>
    <n v="1628.7"/>
    <n v="92938.97"/>
    <n v="19604.830000000002"/>
  </r>
  <r>
    <x v="5"/>
    <n v="841"/>
    <n v="110745.7"/>
    <n v="131.68340000000001"/>
    <n v="5570.79"/>
    <n v="3907.66"/>
    <n v="2107.58"/>
    <n v="1598.18"/>
    <n v="75351.12"/>
    <n v="22210.37"/>
  </r>
  <r>
    <x v="6"/>
    <n v="942"/>
    <n v="137070.84"/>
    <n v="145.5104"/>
    <n v="6184.36"/>
    <n v="5720.6"/>
    <n v="1641.01"/>
    <n v="1642.36"/>
    <n v="94947.86"/>
    <n v="26934.65"/>
  </r>
  <r>
    <x v="7"/>
    <n v="949"/>
    <n v="132936.24"/>
    <n v="140.08029999999999"/>
    <n v="5650.73"/>
    <n v="4775.3999999999996"/>
    <n v="2003.58"/>
    <n v="1875.11"/>
    <n v="89396.94"/>
    <n v="29234.48"/>
  </r>
  <r>
    <x v="8"/>
    <n v="849"/>
    <n v="137022.6"/>
    <n v="161.3929"/>
    <n v="4982.97"/>
    <n v="3702.86"/>
    <n v="1869.67"/>
    <n v="1510.31"/>
    <n v="95429.33"/>
    <n v="29527.46"/>
  </r>
  <r>
    <x v="9"/>
    <n v="844"/>
    <n v="118913.3"/>
    <n v="140.89250000000001"/>
    <n v="4774.92"/>
    <n v="3819.51"/>
    <n v="1726.41"/>
    <n v="1710.44"/>
    <n v="83385.919999999998"/>
    <n v="23496.1"/>
  </r>
  <r>
    <x v="10"/>
    <n v="891"/>
    <n v="122127.52"/>
    <n v="137.06790000000001"/>
    <n v="5208.09"/>
    <n v="3735"/>
    <n v="2262.5700000000002"/>
    <n v="1782.42"/>
    <n v="81940.25"/>
    <n v="27199.19"/>
  </r>
  <r>
    <x v="11"/>
    <n v="911"/>
    <n v="112438.65"/>
    <n v="123.4233"/>
    <n v="5960.22"/>
    <n v="4179.6899999999996"/>
    <n v="1860.21"/>
    <n v="1918.14"/>
    <n v="70025.240000000005"/>
    <n v="28495.1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959"/>
    <n v="130507.83"/>
    <n v="136.0874"/>
    <n v="6636.16"/>
    <n v="5427.52"/>
    <n v="1487.43"/>
    <n v="2144.59"/>
    <n v="94414.21"/>
    <n v="20397.919999999998"/>
  </r>
  <r>
    <x v="1"/>
    <n v="764"/>
    <n v="104570.81"/>
    <n v="136.87280000000001"/>
    <n v="4979.7700000000004"/>
    <n v="3554.75"/>
    <n v="1801.61"/>
    <n v="1732.58"/>
    <n v="73898.37"/>
    <n v="18603.73"/>
  </r>
  <r>
    <x v="2"/>
    <n v="989"/>
    <n v="133808.20000000001"/>
    <n v="135.29650000000001"/>
    <n v="6553.73"/>
    <n v="5314.94"/>
    <n v="2503.3200000000002"/>
    <n v="2265.29"/>
    <n v="96788"/>
    <n v="20382.919999999998"/>
  </r>
  <r>
    <x v="3"/>
    <n v="819"/>
    <n v="124228.43"/>
    <n v="151.6831"/>
    <n v="5060.6400000000003"/>
    <n v="4429.95"/>
    <n v="2034.94"/>
    <n v="1540.15"/>
    <n v="92097.68"/>
    <n v="19065.07"/>
  </r>
  <r>
    <x v="4"/>
    <n v="869"/>
    <n v="116437.33"/>
    <n v="133.99"/>
    <n v="5626.71"/>
    <n v="4105.8599999999997"/>
    <n v="2176.4"/>
    <n v="1640.71"/>
    <n v="80014.16"/>
    <n v="22873.49"/>
  </r>
  <r>
    <x v="5"/>
    <n v="914"/>
    <n v="131379.21"/>
    <n v="143.74090000000001"/>
    <n v="6128.44"/>
    <n v="5522.4"/>
    <n v="1572.19"/>
    <n v="1599.83"/>
    <n v="90284.82"/>
    <n v="26271.53"/>
  </r>
  <r>
    <x v="6"/>
    <n v="949"/>
    <n v="132936.24"/>
    <n v="140.08029999999999"/>
    <n v="5650.73"/>
    <n v="4775.3999999999996"/>
    <n v="2003.58"/>
    <n v="1875.11"/>
    <n v="89396.94"/>
    <n v="29234.48"/>
  </r>
  <r>
    <x v="7"/>
    <n v="873"/>
    <n v="139385.22"/>
    <n v="159.66229999999999"/>
    <n v="5089.51"/>
    <n v="3805.57"/>
    <n v="1890.03"/>
    <n v="1560.65"/>
    <n v="97266.3"/>
    <n v="29773.16"/>
  </r>
  <r>
    <x v="8"/>
    <n v="820"/>
    <n v="116550.68"/>
    <n v="142.13499999999999"/>
    <n v="4668.38"/>
    <n v="3716.8"/>
    <n v="1706.05"/>
    <n v="1660.1"/>
    <n v="81548.95"/>
    <n v="23250.400000000001"/>
  </r>
  <r>
    <x v="9"/>
    <n v="917"/>
    <n v="124204.24"/>
    <n v="135.44630000000001"/>
    <n v="5434.43"/>
    <n v="3852.46"/>
    <n v="2274.69"/>
    <n v="1813.35"/>
    <n v="82761.61"/>
    <n v="28067.7"/>
  </r>
  <r>
    <x v="10"/>
    <n v="885"/>
    <n v="110361.93"/>
    <n v="124.70269999999999"/>
    <n v="5733.88"/>
    <n v="4062.23"/>
    <n v="1848.09"/>
    <n v="1887.21"/>
    <n v="69203.88"/>
    <n v="27626.639999999999"/>
  </r>
  <r>
    <x v="11"/>
    <n v="855"/>
    <n v="127097.69"/>
    <n v="148.6523"/>
    <n v="5488.06"/>
    <n v="3347.87"/>
    <n v="2102.9"/>
    <n v="1840.79"/>
    <n v="96270.720000000001"/>
    <n v="18047.3499999999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1463"/>
    <n v="181006.05"/>
    <n v="123.7225"/>
    <n v="11060.32"/>
    <n v="9497.33"/>
    <n v="3653.6"/>
    <n v="3888.98"/>
    <n v="138621.67000000001"/>
    <n v="14284.15"/>
  </r>
  <r>
    <x v="1"/>
    <n v="1210"/>
    <n v="165726.20000000001"/>
    <n v="136.96379999999999"/>
    <n v="9009.19"/>
    <n v="7018.05"/>
    <n v="2918.32"/>
    <n v="3067.68"/>
    <n v="131269.65"/>
    <n v="12443.31"/>
  </r>
  <r>
    <x v="2"/>
    <n v="1409"/>
    <n v="183144.31"/>
    <n v="129.98179999999999"/>
    <n v="9456.3700000000008"/>
    <n v="8656.48"/>
    <n v="3839.4"/>
    <n v="3185.88"/>
    <n v="136640.48000000001"/>
    <n v="21365.7"/>
  </r>
  <r>
    <x v="3"/>
    <n v="1800"/>
    <n v="168853.86"/>
    <n v="93.807699999999997"/>
    <n v="12929.77"/>
    <n v="11310.65"/>
    <n v="4480.54"/>
    <n v="4856.1899999999996"/>
    <n v="102381.4"/>
    <n v="32895.31"/>
  </r>
  <r>
    <x v="4"/>
    <n v="1834"/>
    <n v="186318.66"/>
    <n v="101.59139999999999"/>
    <n v="14308.74"/>
    <n v="11924.65"/>
    <n v="5341.24"/>
    <n v="4509.87"/>
    <n v="118406.29"/>
    <n v="31827.87"/>
  </r>
  <r>
    <x v="5"/>
    <n v="1755"/>
    <n v="167246.64000000001"/>
    <n v="95.297200000000004"/>
    <n v="14545.92"/>
    <n v="10772.21"/>
    <n v="4565.54"/>
    <n v="4538.95"/>
    <n v="99140.64"/>
    <n v="33683.379999999997"/>
  </r>
  <r>
    <x v="6"/>
    <n v="1333"/>
    <n v="204640.58"/>
    <n v="153.5188"/>
    <n v="9013.64"/>
    <n v="6169.08"/>
    <n v="3243.61"/>
    <n v="2958.09"/>
    <n v="156807.07999999999"/>
    <n v="26449.08"/>
  </r>
  <r>
    <x v="7"/>
    <n v="1339"/>
    <n v="209591.63"/>
    <n v="156.52850000000001"/>
    <n v="8361.7999999999993"/>
    <n v="7645.61"/>
    <n v="2998.39"/>
    <n v="2709.34"/>
    <n v="161517.13"/>
    <n v="26359.360000000001"/>
  </r>
  <r>
    <x v="8"/>
    <n v="1304"/>
    <n v="196114.94"/>
    <n v="150.39490000000001"/>
    <n v="8783.94"/>
    <n v="7283.78"/>
    <n v="3120.1"/>
    <n v="2523.5700000000002"/>
    <n v="150733.42000000001"/>
    <n v="23670.13"/>
  </r>
  <r>
    <x v="9"/>
    <n v="2093"/>
    <n v="330762.82"/>
    <n v="158.03290000000001"/>
    <n v="13414.3"/>
    <n v="10562.4"/>
    <n v="4909.59"/>
    <n v="4294.84"/>
    <n v="257001.19"/>
    <n v="40580.5"/>
  </r>
  <r>
    <x v="10"/>
    <n v="1400"/>
    <n v="220240.73"/>
    <n v="157.31479999999999"/>
    <n v="8109.53"/>
    <n v="7482.93"/>
    <n v="3130.52"/>
    <n v="2916.37"/>
    <n v="175539.20000000001"/>
    <n v="23062.18"/>
  </r>
  <r>
    <x v="11"/>
    <n v="1461"/>
    <n v="208271.75"/>
    <n v="142.55420000000001"/>
    <n v="9668.7000000000007"/>
    <n v="7612.67"/>
    <n v="3320.63"/>
    <n v="2953.44"/>
    <n v="154975.51"/>
    <n v="29740.799999999999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37030.89"/>
    <n v="30306.37"/>
    <n v="15131"/>
    <n v="13029.18"/>
    <n v="685377.79"/>
    <n v="230480.29"/>
    <n v="1011355.52"/>
  </r>
  <r>
    <x v="1"/>
    <n v="66815.960000000006"/>
    <n v="51754.45"/>
    <n v="23353.71"/>
    <n v="21489.88"/>
    <n v="1041766.38"/>
    <n v="282710.34000000003"/>
    <n v="1487890.72"/>
  </r>
  <r>
    <x v="2"/>
    <n v="67050.44"/>
    <n v="51915.75"/>
    <n v="23401.23"/>
    <n v="21560.36"/>
    <n v="1043945.64"/>
    <n v="283594.39"/>
    <n v="1491467.81"/>
  </r>
  <r>
    <x v="3"/>
    <n v="128662.22"/>
    <n v="105935.84"/>
    <n v="45521.48"/>
    <n v="42403.199999999997"/>
    <n v="1783033.66"/>
    <n v="316361.77"/>
    <n v="2421918.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69A643-1DBF-485A-8E59-15457AB4688D}" name="PivotTable9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Year">
  <location ref="A1:G6" firstHeaderRow="0" firstDataRow="1" firstDataCol="1"/>
  <pivotFields count="8">
    <pivotField axis="axisRow" showAll="0">
      <items count="5">
        <item x="0"/>
        <item x="1"/>
        <item x="2"/>
        <item x="3"/>
        <item t="default"/>
      </items>
    </pivotField>
    <pivotField dataField="1" numFmtId="168" showAll="0"/>
    <pivotField dataField="1" numFmtId="168" showAll="0"/>
    <pivotField dataField="1" numFmtId="168" showAll="0"/>
    <pivotField dataField="1" numFmtId="168" showAll="0"/>
    <pivotField dataField="1" numFmtId="168" showAll="0"/>
    <pivotField dataField="1" numFmtId="168" showAll="0"/>
    <pivotField numFmtId="168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 Apparel" fld="1" baseField="0" baseItem="0" numFmtId="168"/>
    <dataField name=" Art Supplies" fld="2" baseField="0" baseItem="0" numFmtId="168"/>
    <dataField name=" Books" fld="3" baseField="0" baseItem="0" numFmtId="168"/>
    <dataField name=" Stationery" fld="4" baseField="0" baseItem="0" numFmtId="168"/>
    <dataField name=" Technology" fld="5" baseField="0" baseItem="0" numFmtId="168"/>
    <dataField name=" Textbooks" fld="6" baseField="0" baseItem="0" numFmtId="168"/>
  </dataFields>
  <formats count="4">
    <format dxfId="19">
      <pivotArea grandRow="1" outline="0" collapsedLevelsAreSubtotals="1" fieldPosition="0"/>
    </format>
    <format dxfId="18">
      <pivotArea dataOnly="0" labelOnly="1" grandRow="1" outline="0" fieldPosition="0"/>
    </format>
    <format dxfId="17">
      <pivotArea field="0" type="button" dataOnly="0" labelOnly="1" outline="0" axis="axisRow" fieldPosition="0"/>
    </format>
    <format dxfId="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AED27F-48F3-48C4-B2AB-11193C4A7506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 rowHeaderCaption="Month">
  <location ref="A1:G14" firstHeaderRow="0" firstDataRow="1" firstDataCol="1"/>
  <pivotFields count="10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 Apparel" fld="4" baseField="0" baseItem="0"/>
    <dataField name=" Art_Supplies" fld="5" baseField="0" baseItem="0"/>
    <dataField name=" Books" fld="6" baseField="0" baseItem="0"/>
    <dataField name=" Stationery" fld="7" baseField="0" baseItem="0"/>
    <dataField name=" Technology" fld="8" baseField="0" baseItem="0"/>
    <dataField name=" Textbooks" fld="9" baseField="0" baseItem="0"/>
  </dataFields>
  <formats count="4">
    <format dxfId="15">
      <pivotArea grandRow="1" outline="0" collapsedLevelsAreSubtotals="1" fieldPosition="0"/>
    </format>
    <format dxfId="14">
      <pivotArea dataOnly="0" labelOnly="1" grandRow="1" outline="0" fieldPosition="0"/>
    </format>
    <format dxfId="13">
      <pivotArea field="0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2D40C-07DD-4587-ADF8-82A04514AEB8}" name="PivotTable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Month">
  <location ref="A1:G14" firstHeaderRow="0" firstDataRow="1" firstDataCol="1"/>
  <pivotFields count="10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 Apparel" fld="4" baseField="0" baseItem="0"/>
    <dataField name=" Art_Supplies" fld="5" baseField="0" baseItem="0"/>
    <dataField name=" Books" fld="6" baseField="0" baseItem="0"/>
    <dataField name=" Stationery" fld="7" baseField="0" baseItem="0"/>
    <dataField name=" Technology" fld="8" baseField="0" baseItem="0"/>
    <dataField name=" Textbooks" fld="9" baseField="0" baseItem="0"/>
  </dataFields>
  <formats count="4">
    <format dxfId="11">
      <pivotArea grandRow="1" outline="0" collapsedLevelsAreSubtotals="1" fieldPosition="0"/>
    </format>
    <format dxfId="10">
      <pivotArea dataOnly="0" labelOnly="1" grandRow="1" outline="0" fieldPosition="0"/>
    </format>
    <format dxfId="9">
      <pivotArea field="0" type="button" dataOnly="0" labelOnly="1" outline="0" axis="axisRow" fieldPosition="0"/>
    </format>
    <format dxfId="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6EA2B8-70DD-4276-ADCB-9D8652739314}" name="PivotTable7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Month">
  <location ref="A1:G14" firstHeaderRow="0" firstDataRow="1" firstDataCol="1"/>
  <pivotFields count="10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 Apparel" fld="4" baseField="0" baseItem="0"/>
    <dataField name=" Books" fld="6" baseField="0" baseItem="0"/>
    <dataField name=" Art_Supplies" fld="5" baseField="0" baseItem="0"/>
    <dataField name=" Stationery" fld="7" baseField="0" baseItem="0"/>
    <dataField name=" Technology" fld="8" baseField="0" baseItem="0"/>
    <dataField name=" Textbooks" fld="9" baseField="0" baseItem="0"/>
  </dataFields>
  <formats count="4">
    <format dxfId="7">
      <pivotArea grandRow="1" outline="0" collapsedLevelsAreSubtotals="1" fieldPosition="0"/>
    </format>
    <format dxfId="6">
      <pivotArea dataOnly="0" labelOnly="1" grandRow="1" outline="0" fieldPosition="0"/>
    </format>
    <format dxfId="5">
      <pivotArea field="0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314CCB-F539-4D4E-83E9-3904FEBE5905}" name="PivotTable8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Month">
  <location ref="A1:G14" firstHeaderRow="0" firstDataRow="1" firstDataCol="1"/>
  <pivotFields count="10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 Apparel" fld="4" baseField="0" baseItem="0"/>
    <dataField name=" Art_Supplies" fld="5" baseField="0" baseItem="0"/>
    <dataField name=" Books" fld="6" baseField="0" baseItem="0"/>
    <dataField name=" Stationery" fld="7" baseField="0" baseItem="0"/>
    <dataField name=" Technology" fld="8" baseField="0" baseItem="0"/>
    <dataField name=" Textbooks" fld="9" baseField="0" baseItem="0"/>
  </dataFields>
  <formats count="4"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field="0" type="button" dataOnly="0" labelOnly="1" outline="0" axis="axisRow" fieldPosition="0"/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1B3058-3F4B-4730-9680-273E544DB8B0}" name="Table1" displayName="Table1" ref="A1:J50" totalsRowCount="1">
  <autoFilter ref="A1:J49" xr:uid="{F31B3058-3F4B-4730-9680-273E544DB8B0}"/>
  <tableColumns count="10">
    <tableColumn id="1" xr3:uid="{AB7170A7-6FAB-41EF-A9CD-633EC57C2C20}" name="Monthly_Sales" totalsRowLabel="Totals ="/>
    <tableColumn id="2" xr3:uid="{43C1D659-30E1-46C5-B907-73D2A50680FC}" name="Transactions" totalsRowFunction="custom" totalsRowCellStyle="Currency">
      <totalsRowFormula>SUM(Table1[Transactions])</totalsRowFormula>
    </tableColumn>
    <tableColumn id="3" xr3:uid="{B8413891-FB30-4869-BD2F-084363F37FD4}" name="Revenue" totalsRowFunction="custom" totalsRowCellStyle="Currency">
      <totalsRowFormula>SUM(Table1[Revenue])</totalsRowFormula>
    </tableColumn>
    <tableColumn id="4" xr3:uid="{D65C1A98-094F-4B6D-9AA8-255A5AD21B4A}" name="Average_Revenue" totalsRowFunction="custom" totalsRowCellStyle="Currency">
      <totalsRowFormula>SUM(Table1[Average_Revenue])</totalsRowFormula>
    </tableColumn>
    <tableColumn id="5" xr3:uid="{5F75902A-8EDE-43E4-A74B-158A15EDFB66}" name="Apparel" totalsRowFunction="custom" totalsRowCellStyle="Currency">
      <totalsRowFormula>SUM(Table1[Apparel])</totalsRowFormula>
    </tableColumn>
    <tableColumn id="6" xr3:uid="{712AB50A-3DA0-4943-B58E-7D130D4FEC4A}" name="Art_Supplies" totalsRowFunction="custom" totalsRowCellStyle="Currency">
      <totalsRowFormula>SUM(Table1[Art_Supplies])</totalsRowFormula>
    </tableColumn>
    <tableColumn id="7" xr3:uid="{D4D67140-E969-4A89-ACE0-86E46AA5A8F3}" name="Books" totalsRowFunction="custom" totalsRowCellStyle="Currency">
      <totalsRowFormula>SUM(Table1[Books])</totalsRowFormula>
    </tableColumn>
    <tableColumn id="8" xr3:uid="{89129C15-A413-4BC4-8C80-403F9C8C22E7}" name="Stationery" totalsRowFunction="custom" totalsRowCellStyle="Currency">
      <totalsRowFormula>SUM(Table1[Stationery])</totalsRowFormula>
    </tableColumn>
    <tableColumn id="9" xr3:uid="{C8CE5CA1-97A1-44B0-9166-D127D3EE46F2}" name="Technology" totalsRowFunction="custom" totalsRowCellStyle="Currency">
      <totalsRowFormula>SUM(Table1[Technology])</totalsRowFormula>
    </tableColumn>
    <tableColumn id="10" xr3:uid="{0C15951E-B736-4E2B-8C8A-C6DA3B27F05B}" name="Textbooks" totalsRowFunction="custom" totalsRowCellStyle="Currency">
      <totalsRowFormula>SUM(Table1[Textbooks])</totalsRow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4BB647-C46B-487A-A096-63012C5F1C55}" name="Table2" displayName="Table2" ref="A1:E5" totalsRowShown="0" headerRowDxfId="29" dataDxfId="28" headerRowBorderDxfId="26" tableBorderDxfId="27" totalsRowBorderDxfId="25">
  <autoFilter ref="A1:E5" xr:uid="{894BB647-C46B-487A-A096-63012C5F1C55}"/>
  <tableColumns count="5">
    <tableColumn id="1" xr3:uid="{024750FC-492B-4058-8E38-8F8B3C72BDF1}" name="Year" dataDxfId="24"/>
    <tableColumn id="2" xr3:uid="{F531851A-1CCC-41E4-A5AB-D7D2F0E212F5}" name="Total Transactions" dataDxfId="23"/>
    <tableColumn id="3" xr3:uid="{7BFAAE02-FFB0-4237-9F46-7E33905BE0A9}" name="Total Revenue" dataDxfId="22"/>
    <tableColumn id="4" xr3:uid="{708F9282-4A76-494E-93D6-C73185DF227C}" name="Avg Monthly Rev " dataDxfId="21"/>
    <tableColumn id="6" xr3:uid="{48B53B4F-2907-4F41-9FBC-A028E4FC542F}" name="Growth Per Year" dataDxfId="20">
      <calculatedColumnFormula>(C2-C1)/C1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3B319-B73F-4D41-B356-6560698C40C5}">
  <dimension ref="A1:J50"/>
  <sheetViews>
    <sheetView workbookViewId="0">
      <pane ySplit="1" topLeftCell="A44" activePane="bottomLeft" state="frozen"/>
      <selection pane="bottomLeft" activeCell="D54" sqref="D54"/>
    </sheetView>
  </sheetViews>
  <sheetFormatPr defaultColWidth="14.81640625" defaultRowHeight="16" customHeight="1" x14ac:dyDescent="0.35"/>
  <sheetData>
    <row r="1" spans="1:10" ht="16" customHeight="1" x14ac:dyDescent="0.35">
      <c r="A1" t="s">
        <v>0</v>
      </c>
      <c r="B1" t="s">
        <v>58</v>
      </c>
      <c r="C1" t="s">
        <v>59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ht="16" customHeight="1" x14ac:dyDescent="0.35">
      <c r="A2" t="s">
        <v>8</v>
      </c>
      <c r="B2">
        <v>578</v>
      </c>
      <c r="C2">
        <v>77950.98</v>
      </c>
      <c r="D2">
        <v>134.86330000000001</v>
      </c>
      <c r="E2">
        <v>3632.4</v>
      </c>
      <c r="F2">
        <v>2283.52</v>
      </c>
      <c r="G2">
        <v>959.78</v>
      </c>
      <c r="H2">
        <v>1229.6600000000001</v>
      </c>
      <c r="I2">
        <v>51086.31</v>
      </c>
      <c r="J2">
        <v>18759.310000000001</v>
      </c>
    </row>
    <row r="3" spans="1:10" ht="16" customHeight="1" x14ac:dyDescent="0.35">
      <c r="A3" t="s">
        <v>9</v>
      </c>
      <c r="B3">
        <v>570</v>
      </c>
      <c r="C3">
        <v>80315.69</v>
      </c>
      <c r="D3">
        <v>140.90469999999999</v>
      </c>
      <c r="E3">
        <v>2199.75</v>
      </c>
      <c r="F3">
        <v>3224.79</v>
      </c>
      <c r="G3">
        <v>1244.9100000000001</v>
      </c>
      <c r="H3">
        <v>1028.28</v>
      </c>
      <c r="I3">
        <v>55437.16</v>
      </c>
      <c r="J3">
        <v>17180.8</v>
      </c>
    </row>
    <row r="4" spans="1:10" ht="16" customHeight="1" x14ac:dyDescent="0.35">
      <c r="A4" t="s">
        <v>10</v>
      </c>
      <c r="B4">
        <v>553</v>
      </c>
      <c r="C4">
        <v>82516.36</v>
      </c>
      <c r="D4">
        <v>149.2158</v>
      </c>
      <c r="E4">
        <v>3133.64</v>
      </c>
      <c r="F4">
        <v>2619.12</v>
      </c>
      <c r="G4">
        <v>1201.73</v>
      </c>
      <c r="H4">
        <v>1029.43</v>
      </c>
      <c r="I4">
        <v>59450.9</v>
      </c>
      <c r="J4">
        <v>15081.54</v>
      </c>
    </row>
    <row r="5" spans="1:10" ht="16" customHeight="1" x14ac:dyDescent="0.35">
      <c r="A5" t="s">
        <v>11</v>
      </c>
      <c r="B5">
        <v>571</v>
      </c>
      <c r="C5">
        <v>89350.31</v>
      </c>
      <c r="D5">
        <v>156.4804</v>
      </c>
      <c r="E5">
        <v>3189.07</v>
      </c>
      <c r="F5">
        <v>1931.28</v>
      </c>
      <c r="G5">
        <v>1121.48</v>
      </c>
      <c r="H5">
        <v>1069.98</v>
      </c>
      <c r="I5">
        <v>61067.94</v>
      </c>
      <c r="J5">
        <v>20970.560000000001</v>
      </c>
    </row>
    <row r="6" spans="1:10" ht="16" customHeight="1" x14ac:dyDescent="0.35">
      <c r="A6" t="s">
        <v>12</v>
      </c>
      <c r="B6">
        <v>610</v>
      </c>
      <c r="C6">
        <v>94892.89</v>
      </c>
      <c r="D6">
        <v>155.56209999999999</v>
      </c>
      <c r="E6">
        <v>3132.81</v>
      </c>
      <c r="F6">
        <v>3007</v>
      </c>
      <c r="G6">
        <v>734.89</v>
      </c>
      <c r="H6">
        <v>1101.3</v>
      </c>
      <c r="I6">
        <v>63897.67</v>
      </c>
      <c r="J6">
        <v>23019.22</v>
      </c>
    </row>
    <row r="7" spans="1:10" ht="16" customHeight="1" x14ac:dyDescent="0.35">
      <c r="A7" t="s">
        <v>13</v>
      </c>
      <c r="B7">
        <v>543</v>
      </c>
      <c r="C7">
        <v>86847.7</v>
      </c>
      <c r="D7">
        <v>159.94049999999999</v>
      </c>
      <c r="E7">
        <v>2927.67</v>
      </c>
      <c r="F7">
        <v>1726.3</v>
      </c>
      <c r="G7">
        <v>1230.96</v>
      </c>
      <c r="H7">
        <v>1077.8900000000001</v>
      </c>
      <c r="I7">
        <v>62870.8</v>
      </c>
      <c r="J7">
        <v>17014.080000000002</v>
      </c>
    </row>
    <row r="8" spans="1:10" ht="16" customHeight="1" x14ac:dyDescent="0.35">
      <c r="A8" t="s">
        <v>14</v>
      </c>
      <c r="B8">
        <v>600</v>
      </c>
      <c r="C8">
        <v>94048.49</v>
      </c>
      <c r="D8">
        <v>156.7475</v>
      </c>
      <c r="E8">
        <v>2881.63</v>
      </c>
      <c r="F8">
        <v>2879.83</v>
      </c>
      <c r="G8">
        <v>1250.28</v>
      </c>
      <c r="H8">
        <v>1076.22</v>
      </c>
      <c r="I8">
        <v>65916.14</v>
      </c>
      <c r="J8">
        <v>20044.39</v>
      </c>
    </row>
    <row r="9" spans="1:10" ht="16" customHeight="1" x14ac:dyDescent="0.35">
      <c r="A9" t="s">
        <v>15</v>
      </c>
      <c r="B9">
        <v>573</v>
      </c>
      <c r="C9">
        <v>87058.36</v>
      </c>
      <c r="D9">
        <v>151.93430000000001</v>
      </c>
      <c r="E9">
        <v>3582.97</v>
      </c>
      <c r="F9">
        <v>2447.0100000000002</v>
      </c>
      <c r="G9">
        <v>1111.02</v>
      </c>
      <c r="H9">
        <v>1159.4100000000001</v>
      </c>
      <c r="I9">
        <v>60144.88</v>
      </c>
      <c r="J9">
        <v>18613.07</v>
      </c>
    </row>
    <row r="10" spans="1:10" ht="16" customHeight="1" x14ac:dyDescent="0.35">
      <c r="A10" t="s">
        <v>16</v>
      </c>
      <c r="B10">
        <v>586</v>
      </c>
      <c r="C10">
        <v>84206.09</v>
      </c>
      <c r="D10">
        <v>143.69640000000001</v>
      </c>
      <c r="E10">
        <v>2942.9</v>
      </c>
      <c r="F10">
        <v>2788.04</v>
      </c>
      <c r="G10">
        <v>1645.85</v>
      </c>
      <c r="H10">
        <v>1087.8699999999999</v>
      </c>
      <c r="I10">
        <v>56611.33</v>
      </c>
      <c r="J10">
        <v>19130.099999999999</v>
      </c>
    </row>
    <row r="11" spans="1:10" ht="16" customHeight="1" x14ac:dyDescent="0.35">
      <c r="A11" t="s">
        <v>17</v>
      </c>
      <c r="B11">
        <v>613</v>
      </c>
      <c r="C11">
        <v>78706.960000000006</v>
      </c>
      <c r="D11">
        <v>128.3963</v>
      </c>
      <c r="E11">
        <v>3229.48</v>
      </c>
      <c r="F11">
        <v>2784.17</v>
      </c>
      <c r="G11">
        <v>1708.09</v>
      </c>
      <c r="H11">
        <v>1106.5</v>
      </c>
      <c r="I11">
        <v>48459.92</v>
      </c>
      <c r="J11">
        <v>21418.799999999999</v>
      </c>
    </row>
    <row r="12" spans="1:10" ht="16" customHeight="1" x14ac:dyDescent="0.35">
      <c r="A12" t="s">
        <v>18</v>
      </c>
      <c r="B12">
        <v>523</v>
      </c>
      <c r="C12">
        <v>76920.06</v>
      </c>
      <c r="D12">
        <v>147.07470000000001</v>
      </c>
      <c r="E12">
        <v>2541.9699999999998</v>
      </c>
      <c r="F12">
        <v>2190.59</v>
      </c>
      <c r="G12">
        <v>1407.12</v>
      </c>
      <c r="H12">
        <v>842.55</v>
      </c>
      <c r="I12">
        <v>48103.42</v>
      </c>
      <c r="J12">
        <v>21834.41</v>
      </c>
    </row>
    <row r="13" spans="1:10" ht="16" customHeight="1" x14ac:dyDescent="0.35">
      <c r="A13" t="s">
        <v>19</v>
      </c>
      <c r="B13">
        <v>584</v>
      </c>
      <c r="C13">
        <v>78541.63</v>
      </c>
      <c r="D13">
        <v>134.48910000000001</v>
      </c>
      <c r="E13">
        <v>3636.6</v>
      </c>
      <c r="F13">
        <v>2424.7199999999998</v>
      </c>
      <c r="G13">
        <v>1514.89</v>
      </c>
      <c r="H13">
        <v>1220.0899999999999</v>
      </c>
      <c r="I13">
        <v>52331.32</v>
      </c>
      <c r="J13">
        <v>17414.009999999998</v>
      </c>
    </row>
    <row r="14" spans="1:10" ht="16" customHeight="1" x14ac:dyDescent="0.35">
      <c r="A14" t="s">
        <v>20</v>
      </c>
      <c r="B14">
        <v>855</v>
      </c>
      <c r="C14">
        <v>127097.69</v>
      </c>
      <c r="D14">
        <v>148.6523</v>
      </c>
      <c r="E14">
        <v>5488.06</v>
      </c>
      <c r="F14">
        <v>3347.87</v>
      </c>
      <c r="G14">
        <v>2102.9</v>
      </c>
      <c r="H14">
        <v>1840.79</v>
      </c>
      <c r="I14">
        <v>96270.720000000001</v>
      </c>
      <c r="J14">
        <v>18047.349999999999</v>
      </c>
    </row>
    <row r="15" spans="1:10" ht="16" customHeight="1" x14ac:dyDescent="0.35">
      <c r="A15" t="s">
        <v>21</v>
      </c>
      <c r="B15">
        <v>862</v>
      </c>
      <c r="C15">
        <v>118165.45</v>
      </c>
      <c r="D15">
        <v>137.0829</v>
      </c>
      <c r="E15">
        <v>5924</v>
      </c>
      <c r="F15">
        <v>4884.8500000000004</v>
      </c>
      <c r="G15">
        <v>1325.86</v>
      </c>
      <c r="H15">
        <v>1953.7</v>
      </c>
      <c r="I15">
        <v>85240.05</v>
      </c>
      <c r="J15">
        <v>18836.990000000002</v>
      </c>
    </row>
    <row r="16" spans="1:10" ht="16" customHeight="1" x14ac:dyDescent="0.35">
      <c r="A16" t="s">
        <v>22</v>
      </c>
      <c r="B16">
        <v>828</v>
      </c>
      <c r="C16">
        <v>113336.1</v>
      </c>
      <c r="D16">
        <v>136.8793</v>
      </c>
      <c r="E16">
        <v>5457.45</v>
      </c>
      <c r="F16">
        <v>3936.12</v>
      </c>
      <c r="G16">
        <v>1915.66</v>
      </c>
      <c r="H16">
        <v>1852.99</v>
      </c>
      <c r="I16">
        <v>80893.27</v>
      </c>
      <c r="J16">
        <v>19280.61</v>
      </c>
    </row>
    <row r="17" spans="1:10" ht="16" customHeight="1" x14ac:dyDescent="0.35">
      <c r="A17" t="s">
        <v>23</v>
      </c>
      <c r="B17">
        <v>959</v>
      </c>
      <c r="C17">
        <v>131835.32999999999</v>
      </c>
      <c r="D17">
        <v>137.4717</v>
      </c>
      <c r="E17">
        <v>6244.63</v>
      </c>
      <c r="F17">
        <v>5120.7700000000004</v>
      </c>
      <c r="G17">
        <v>2503.3200000000002</v>
      </c>
      <c r="H17">
        <v>2176.7399999999998</v>
      </c>
      <c r="I17">
        <v>95946.71</v>
      </c>
      <c r="J17">
        <v>19843.16</v>
      </c>
    </row>
    <row r="18" spans="1:10" ht="16" customHeight="1" x14ac:dyDescent="0.35">
      <c r="A18" t="s">
        <v>24</v>
      </c>
      <c r="B18">
        <v>849</v>
      </c>
      <c r="C18">
        <v>126201.3</v>
      </c>
      <c r="D18">
        <v>148.64699999999999</v>
      </c>
      <c r="E18">
        <v>5369.74</v>
      </c>
      <c r="F18">
        <v>4624.12</v>
      </c>
      <c r="G18">
        <v>2034.94</v>
      </c>
      <c r="H18">
        <v>1628.7</v>
      </c>
      <c r="I18">
        <v>92938.97</v>
      </c>
      <c r="J18">
        <v>19604.830000000002</v>
      </c>
    </row>
    <row r="19" spans="1:10" ht="16" customHeight="1" x14ac:dyDescent="0.35">
      <c r="A19" t="s">
        <v>25</v>
      </c>
      <c r="B19">
        <v>841</v>
      </c>
      <c r="C19">
        <v>110745.7</v>
      </c>
      <c r="D19">
        <v>131.68340000000001</v>
      </c>
      <c r="E19">
        <v>5570.79</v>
      </c>
      <c r="F19">
        <v>3907.66</v>
      </c>
      <c r="G19">
        <v>2107.58</v>
      </c>
      <c r="H19">
        <v>1598.18</v>
      </c>
      <c r="I19">
        <v>75351.12</v>
      </c>
      <c r="J19">
        <v>22210.37</v>
      </c>
    </row>
    <row r="20" spans="1:10" ht="16" customHeight="1" x14ac:dyDescent="0.35">
      <c r="A20" t="s">
        <v>26</v>
      </c>
      <c r="B20">
        <v>942</v>
      </c>
      <c r="C20">
        <v>137070.84</v>
      </c>
      <c r="D20">
        <v>145.5104</v>
      </c>
      <c r="E20">
        <v>6184.36</v>
      </c>
      <c r="F20">
        <v>5720.6</v>
      </c>
      <c r="G20">
        <v>1641.01</v>
      </c>
      <c r="H20">
        <v>1642.36</v>
      </c>
      <c r="I20">
        <v>94947.86</v>
      </c>
      <c r="J20">
        <v>26934.65</v>
      </c>
    </row>
    <row r="21" spans="1:10" ht="16" customHeight="1" x14ac:dyDescent="0.35">
      <c r="A21" t="s">
        <v>27</v>
      </c>
      <c r="B21">
        <v>949</v>
      </c>
      <c r="C21">
        <v>132936.24</v>
      </c>
      <c r="D21">
        <v>140.08029999999999</v>
      </c>
      <c r="E21">
        <v>5650.73</v>
      </c>
      <c r="F21">
        <v>4775.3999999999996</v>
      </c>
      <c r="G21">
        <v>2003.58</v>
      </c>
      <c r="H21">
        <v>1875.11</v>
      </c>
      <c r="I21">
        <v>89396.94</v>
      </c>
      <c r="J21">
        <v>29234.48</v>
      </c>
    </row>
    <row r="22" spans="1:10" ht="16" customHeight="1" x14ac:dyDescent="0.35">
      <c r="A22" t="s">
        <v>28</v>
      </c>
      <c r="B22">
        <v>849</v>
      </c>
      <c r="C22">
        <v>137022.6</v>
      </c>
      <c r="D22">
        <v>161.3929</v>
      </c>
      <c r="E22">
        <v>4982.97</v>
      </c>
      <c r="F22">
        <v>3702.86</v>
      </c>
      <c r="G22">
        <v>1869.67</v>
      </c>
      <c r="H22">
        <v>1510.31</v>
      </c>
      <c r="I22">
        <v>95429.33</v>
      </c>
      <c r="J22">
        <v>29527.46</v>
      </c>
    </row>
    <row r="23" spans="1:10" ht="16" customHeight="1" x14ac:dyDescent="0.35">
      <c r="A23" t="s">
        <v>29</v>
      </c>
      <c r="B23">
        <v>844</v>
      </c>
      <c r="C23">
        <v>118913.3</v>
      </c>
      <c r="D23">
        <v>140.89250000000001</v>
      </c>
      <c r="E23">
        <v>4774.92</v>
      </c>
      <c r="F23">
        <v>3819.51</v>
      </c>
      <c r="G23">
        <v>1726.41</v>
      </c>
      <c r="H23">
        <v>1710.44</v>
      </c>
      <c r="I23">
        <v>83385.919999999998</v>
      </c>
      <c r="J23">
        <v>23496.1</v>
      </c>
    </row>
    <row r="24" spans="1:10" ht="16" customHeight="1" x14ac:dyDescent="0.35">
      <c r="A24" t="s">
        <v>30</v>
      </c>
      <c r="B24">
        <v>891</v>
      </c>
      <c r="C24">
        <v>122127.52</v>
      </c>
      <c r="D24">
        <v>137.06790000000001</v>
      </c>
      <c r="E24">
        <v>5208.09</v>
      </c>
      <c r="F24">
        <v>3735</v>
      </c>
      <c r="G24">
        <v>2262.5700000000002</v>
      </c>
      <c r="H24">
        <v>1782.42</v>
      </c>
      <c r="I24">
        <v>81940.25</v>
      </c>
      <c r="J24">
        <v>27199.19</v>
      </c>
    </row>
    <row r="25" spans="1:10" ht="16" customHeight="1" x14ac:dyDescent="0.35">
      <c r="A25" t="s">
        <v>31</v>
      </c>
      <c r="B25">
        <v>911</v>
      </c>
      <c r="C25">
        <v>112438.65</v>
      </c>
      <c r="D25">
        <v>123.4233</v>
      </c>
      <c r="E25">
        <v>5960.22</v>
      </c>
      <c r="F25">
        <v>4179.6899999999996</v>
      </c>
      <c r="G25">
        <v>1860.21</v>
      </c>
      <c r="H25">
        <v>1918.14</v>
      </c>
      <c r="I25">
        <v>70025.240000000005</v>
      </c>
      <c r="J25">
        <v>28495.15</v>
      </c>
    </row>
    <row r="26" spans="1:10" ht="16" customHeight="1" x14ac:dyDescent="0.35">
      <c r="A26" t="s">
        <v>32</v>
      </c>
      <c r="B26">
        <v>959</v>
      </c>
      <c r="C26">
        <v>130507.83</v>
      </c>
      <c r="D26">
        <v>136.0874</v>
      </c>
      <c r="E26">
        <v>6636.16</v>
      </c>
      <c r="F26">
        <v>5427.52</v>
      </c>
      <c r="G26">
        <v>1487.43</v>
      </c>
      <c r="H26">
        <v>2144.59</v>
      </c>
      <c r="I26">
        <v>94414.21</v>
      </c>
      <c r="J26">
        <v>20397.919999999998</v>
      </c>
    </row>
    <row r="27" spans="1:10" ht="16" customHeight="1" x14ac:dyDescent="0.35">
      <c r="A27" t="s">
        <v>33</v>
      </c>
      <c r="B27">
        <v>764</v>
      </c>
      <c r="C27">
        <v>104570.81</v>
      </c>
      <c r="D27">
        <v>136.87280000000001</v>
      </c>
      <c r="E27">
        <v>4979.7700000000004</v>
      </c>
      <c r="F27">
        <v>3554.75</v>
      </c>
      <c r="G27">
        <v>1801.61</v>
      </c>
      <c r="H27">
        <v>1732.58</v>
      </c>
      <c r="I27">
        <v>73898.37</v>
      </c>
      <c r="J27">
        <v>18603.73</v>
      </c>
    </row>
    <row r="28" spans="1:10" ht="16" customHeight="1" x14ac:dyDescent="0.35">
      <c r="A28" t="s">
        <v>34</v>
      </c>
      <c r="B28">
        <v>989</v>
      </c>
      <c r="C28">
        <v>133808.20000000001</v>
      </c>
      <c r="D28">
        <v>135.29650000000001</v>
      </c>
      <c r="E28">
        <v>6553.73</v>
      </c>
      <c r="F28">
        <v>5314.94</v>
      </c>
      <c r="G28">
        <v>2503.3200000000002</v>
      </c>
      <c r="H28">
        <v>2265.29</v>
      </c>
      <c r="I28">
        <v>96788</v>
      </c>
      <c r="J28">
        <v>20382.919999999998</v>
      </c>
    </row>
    <row r="29" spans="1:10" ht="16" customHeight="1" x14ac:dyDescent="0.35">
      <c r="A29" t="s">
        <v>35</v>
      </c>
      <c r="B29">
        <v>819</v>
      </c>
      <c r="C29">
        <v>124228.43</v>
      </c>
      <c r="D29">
        <v>151.6831</v>
      </c>
      <c r="E29">
        <v>5060.6400000000003</v>
      </c>
      <c r="F29">
        <v>4429.95</v>
      </c>
      <c r="G29">
        <v>2034.94</v>
      </c>
      <c r="H29">
        <v>1540.15</v>
      </c>
      <c r="I29">
        <v>92097.68</v>
      </c>
      <c r="J29">
        <v>19065.07</v>
      </c>
    </row>
    <row r="30" spans="1:10" ht="16" customHeight="1" x14ac:dyDescent="0.35">
      <c r="A30" t="s">
        <v>36</v>
      </c>
      <c r="B30">
        <v>869</v>
      </c>
      <c r="C30">
        <v>116437.33</v>
      </c>
      <c r="D30">
        <v>133.99</v>
      </c>
      <c r="E30">
        <v>5626.71</v>
      </c>
      <c r="F30">
        <v>4105.8599999999997</v>
      </c>
      <c r="G30">
        <v>2176.4</v>
      </c>
      <c r="H30">
        <v>1640.71</v>
      </c>
      <c r="I30">
        <v>80014.16</v>
      </c>
      <c r="J30">
        <v>22873.49</v>
      </c>
    </row>
    <row r="31" spans="1:10" ht="16" customHeight="1" x14ac:dyDescent="0.35">
      <c r="A31" t="s">
        <v>37</v>
      </c>
      <c r="B31">
        <v>914</v>
      </c>
      <c r="C31">
        <v>131379.21</v>
      </c>
      <c r="D31">
        <v>143.74090000000001</v>
      </c>
      <c r="E31">
        <v>6128.44</v>
      </c>
      <c r="F31">
        <v>5522.4</v>
      </c>
      <c r="G31">
        <v>1572.19</v>
      </c>
      <c r="H31">
        <v>1599.83</v>
      </c>
      <c r="I31">
        <v>90284.82</v>
      </c>
      <c r="J31">
        <v>26271.53</v>
      </c>
    </row>
    <row r="32" spans="1:10" ht="16" customHeight="1" x14ac:dyDescent="0.35">
      <c r="A32" t="s">
        <v>38</v>
      </c>
      <c r="B32">
        <v>949</v>
      </c>
      <c r="C32">
        <v>132936.24</v>
      </c>
      <c r="D32">
        <v>140.08029999999999</v>
      </c>
      <c r="E32">
        <v>5650.73</v>
      </c>
      <c r="F32">
        <v>4775.3999999999996</v>
      </c>
      <c r="G32">
        <v>2003.58</v>
      </c>
      <c r="H32">
        <v>1875.11</v>
      </c>
      <c r="I32">
        <v>89396.94</v>
      </c>
      <c r="J32">
        <v>29234.48</v>
      </c>
    </row>
    <row r="33" spans="1:10" ht="16" customHeight="1" x14ac:dyDescent="0.35">
      <c r="A33" t="s">
        <v>39</v>
      </c>
      <c r="B33">
        <v>873</v>
      </c>
      <c r="C33">
        <v>139385.22</v>
      </c>
      <c r="D33">
        <v>159.66229999999999</v>
      </c>
      <c r="E33">
        <v>5089.51</v>
      </c>
      <c r="F33">
        <v>3805.57</v>
      </c>
      <c r="G33">
        <v>1890.03</v>
      </c>
      <c r="H33">
        <v>1560.65</v>
      </c>
      <c r="I33">
        <v>97266.3</v>
      </c>
      <c r="J33">
        <v>29773.16</v>
      </c>
    </row>
    <row r="34" spans="1:10" ht="16" customHeight="1" x14ac:dyDescent="0.35">
      <c r="A34" t="s">
        <v>40</v>
      </c>
      <c r="B34">
        <v>820</v>
      </c>
      <c r="C34">
        <v>116550.68</v>
      </c>
      <c r="D34">
        <v>142.13499999999999</v>
      </c>
      <c r="E34">
        <v>4668.38</v>
      </c>
      <c r="F34">
        <v>3716.8</v>
      </c>
      <c r="G34">
        <v>1706.05</v>
      </c>
      <c r="H34">
        <v>1660.1</v>
      </c>
      <c r="I34">
        <v>81548.95</v>
      </c>
      <c r="J34">
        <v>23250.400000000001</v>
      </c>
    </row>
    <row r="35" spans="1:10" ht="16" customHeight="1" x14ac:dyDescent="0.35">
      <c r="A35" t="s">
        <v>41</v>
      </c>
      <c r="B35">
        <v>917</v>
      </c>
      <c r="C35">
        <v>124204.24</v>
      </c>
      <c r="D35">
        <v>135.44630000000001</v>
      </c>
      <c r="E35">
        <v>5434.43</v>
      </c>
      <c r="F35">
        <v>3852.46</v>
      </c>
      <c r="G35">
        <v>2274.69</v>
      </c>
      <c r="H35">
        <v>1813.35</v>
      </c>
      <c r="I35">
        <v>82761.61</v>
      </c>
      <c r="J35">
        <v>28067.7</v>
      </c>
    </row>
    <row r="36" spans="1:10" ht="16" customHeight="1" x14ac:dyDescent="0.35">
      <c r="A36" t="s">
        <v>42</v>
      </c>
      <c r="B36">
        <v>885</v>
      </c>
      <c r="C36">
        <v>110361.93</v>
      </c>
      <c r="D36">
        <v>124.70269999999999</v>
      </c>
      <c r="E36">
        <v>5733.88</v>
      </c>
      <c r="F36">
        <v>4062.23</v>
      </c>
      <c r="G36">
        <v>1848.09</v>
      </c>
      <c r="H36">
        <v>1887.21</v>
      </c>
      <c r="I36">
        <v>69203.88</v>
      </c>
      <c r="J36">
        <v>27626.639999999999</v>
      </c>
    </row>
    <row r="37" spans="1:10" ht="16" customHeight="1" x14ac:dyDescent="0.35">
      <c r="A37" t="s">
        <v>43</v>
      </c>
      <c r="B37">
        <v>855</v>
      </c>
      <c r="C37">
        <v>127097.69</v>
      </c>
      <c r="D37">
        <v>148.6523</v>
      </c>
      <c r="E37">
        <v>5488.06</v>
      </c>
      <c r="F37">
        <v>3347.87</v>
      </c>
      <c r="G37">
        <v>2102.9</v>
      </c>
      <c r="H37">
        <v>1840.79</v>
      </c>
      <c r="I37">
        <v>96270.720000000001</v>
      </c>
      <c r="J37">
        <v>18047.349999999999</v>
      </c>
    </row>
    <row r="38" spans="1:10" ht="16" customHeight="1" x14ac:dyDescent="0.35">
      <c r="A38" t="s">
        <v>44</v>
      </c>
      <c r="B38">
        <v>1463</v>
      </c>
      <c r="C38">
        <v>181006.05</v>
      </c>
      <c r="D38">
        <v>123.7225</v>
      </c>
      <c r="E38">
        <v>11060.32</v>
      </c>
      <c r="F38">
        <v>9497.33</v>
      </c>
      <c r="G38">
        <v>3653.6</v>
      </c>
      <c r="H38">
        <v>3888.98</v>
      </c>
      <c r="I38">
        <v>138621.67000000001</v>
      </c>
      <c r="J38">
        <v>14284.15</v>
      </c>
    </row>
    <row r="39" spans="1:10" ht="16" customHeight="1" x14ac:dyDescent="0.35">
      <c r="A39" t="s">
        <v>45</v>
      </c>
      <c r="B39">
        <v>1210</v>
      </c>
      <c r="C39">
        <v>165726.20000000001</v>
      </c>
      <c r="D39">
        <v>136.96379999999999</v>
      </c>
      <c r="E39">
        <v>9009.19</v>
      </c>
      <c r="F39">
        <v>7018.05</v>
      </c>
      <c r="G39">
        <v>2918.32</v>
      </c>
      <c r="H39">
        <v>3067.68</v>
      </c>
      <c r="I39">
        <v>131269.65</v>
      </c>
      <c r="J39">
        <v>12443.31</v>
      </c>
    </row>
    <row r="40" spans="1:10" ht="16" customHeight="1" x14ac:dyDescent="0.35">
      <c r="A40" t="s">
        <v>46</v>
      </c>
      <c r="B40">
        <v>1409</v>
      </c>
      <c r="C40">
        <v>183144.31</v>
      </c>
      <c r="D40">
        <v>129.98179999999999</v>
      </c>
      <c r="E40">
        <v>9456.3700000000008</v>
      </c>
      <c r="F40">
        <v>8656.48</v>
      </c>
      <c r="G40">
        <v>3839.4</v>
      </c>
      <c r="H40">
        <v>3185.88</v>
      </c>
      <c r="I40">
        <v>136640.48000000001</v>
      </c>
      <c r="J40">
        <v>21365.7</v>
      </c>
    </row>
    <row r="41" spans="1:10" ht="16" customHeight="1" x14ac:dyDescent="0.35">
      <c r="A41" t="s">
        <v>47</v>
      </c>
      <c r="B41">
        <v>1800</v>
      </c>
      <c r="C41">
        <v>168853.86</v>
      </c>
      <c r="D41">
        <v>93.807699999999997</v>
      </c>
      <c r="E41">
        <v>12929.77</v>
      </c>
      <c r="F41">
        <v>11310.65</v>
      </c>
      <c r="G41">
        <v>4480.54</v>
      </c>
      <c r="H41">
        <v>4856.1899999999996</v>
      </c>
      <c r="I41">
        <v>102381.4</v>
      </c>
      <c r="J41">
        <v>32895.31</v>
      </c>
    </row>
    <row r="42" spans="1:10" ht="16" customHeight="1" x14ac:dyDescent="0.35">
      <c r="A42" t="s">
        <v>48</v>
      </c>
      <c r="B42">
        <v>1834</v>
      </c>
      <c r="C42">
        <v>186318.66</v>
      </c>
      <c r="D42">
        <v>101.59139999999999</v>
      </c>
      <c r="E42">
        <v>14308.74</v>
      </c>
      <c r="F42">
        <v>11924.65</v>
      </c>
      <c r="G42">
        <v>5341.24</v>
      </c>
      <c r="H42">
        <v>4509.87</v>
      </c>
      <c r="I42">
        <v>118406.29</v>
      </c>
      <c r="J42">
        <v>31827.87</v>
      </c>
    </row>
    <row r="43" spans="1:10" ht="16" customHeight="1" x14ac:dyDescent="0.35">
      <c r="A43" t="s">
        <v>49</v>
      </c>
      <c r="B43">
        <v>1755</v>
      </c>
      <c r="C43">
        <v>167246.64000000001</v>
      </c>
      <c r="D43">
        <v>95.297200000000004</v>
      </c>
      <c r="E43">
        <v>14545.92</v>
      </c>
      <c r="F43">
        <v>10772.21</v>
      </c>
      <c r="G43">
        <v>4565.54</v>
      </c>
      <c r="H43">
        <v>4538.95</v>
      </c>
      <c r="I43">
        <v>99140.64</v>
      </c>
      <c r="J43">
        <v>33683.379999999997</v>
      </c>
    </row>
    <row r="44" spans="1:10" ht="16" customHeight="1" x14ac:dyDescent="0.35">
      <c r="A44" t="s">
        <v>50</v>
      </c>
      <c r="B44">
        <v>1333</v>
      </c>
      <c r="C44">
        <v>204640.58</v>
      </c>
      <c r="D44">
        <v>153.5188</v>
      </c>
      <c r="E44">
        <v>9013.64</v>
      </c>
      <c r="F44">
        <v>6169.08</v>
      </c>
      <c r="G44">
        <v>3243.61</v>
      </c>
      <c r="H44">
        <v>2958.09</v>
      </c>
      <c r="I44">
        <v>156807.07999999999</v>
      </c>
      <c r="J44">
        <v>26449.08</v>
      </c>
    </row>
    <row r="45" spans="1:10" ht="16" customHeight="1" x14ac:dyDescent="0.35">
      <c r="A45" t="s">
        <v>51</v>
      </c>
      <c r="B45">
        <v>1339</v>
      </c>
      <c r="C45">
        <v>209591.63</v>
      </c>
      <c r="D45">
        <v>156.52850000000001</v>
      </c>
      <c r="E45">
        <v>8361.7999999999993</v>
      </c>
      <c r="F45">
        <v>7645.61</v>
      </c>
      <c r="G45">
        <v>2998.39</v>
      </c>
      <c r="H45">
        <v>2709.34</v>
      </c>
      <c r="I45">
        <v>161517.13</v>
      </c>
      <c r="J45">
        <v>26359.360000000001</v>
      </c>
    </row>
    <row r="46" spans="1:10" ht="16" customHeight="1" x14ac:dyDescent="0.35">
      <c r="A46" t="s">
        <v>52</v>
      </c>
      <c r="B46">
        <v>1304</v>
      </c>
      <c r="C46">
        <v>196114.94</v>
      </c>
      <c r="D46">
        <v>150.39490000000001</v>
      </c>
      <c r="E46">
        <v>8783.94</v>
      </c>
      <c r="F46">
        <v>7283.78</v>
      </c>
      <c r="G46">
        <v>3120.1</v>
      </c>
      <c r="H46">
        <v>2523.5700000000002</v>
      </c>
      <c r="I46">
        <v>150733.42000000001</v>
      </c>
      <c r="J46">
        <v>23670.13</v>
      </c>
    </row>
    <row r="47" spans="1:10" ht="16" customHeight="1" x14ac:dyDescent="0.35">
      <c r="A47" t="s">
        <v>53</v>
      </c>
      <c r="B47">
        <v>2093</v>
      </c>
      <c r="C47">
        <v>330762.82</v>
      </c>
      <c r="D47">
        <v>158.03290000000001</v>
      </c>
      <c r="E47">
        <v>13414.3</v>
      </c>
      <c r="F47">
        <v>10562.4</v>
      </c>
      <c r="G47">
        <v>4909.59</v>
      </c>
      <c r="H47">
        <v>4294.84</v>
      </c>
      <c r="I47">
        <v>257001.19</v>
      </c>
      <c r="J47">
        <v>40580.5</v>
      </c>
    </row>
    <row r="48" spans="1:10" ht="16" customHeight="1" x14ac:dyDescent="0.35">
      <c r="A48" t="s">
        <v>54</v>
      </c>
      <c r="B48">
        <v>1400</v>
      </c>
      <c r="C48">
        <v>220240.73</v>
      </c>
      <c r="D48">
        <v>157.31479999999999</v>
      </c>
      <c r="E48">
        <v>8109.53</v>
      </c>
      <c r="F48">
        <v>7482.93</v>
      </c>
      <c r="G48">
        <v>3130.52</v>
      </c>
      <c r="H48">
        <v>2916.37</v>
      </c>
      <c r="I48">
        <v>175539.20000000001</v>
      </c>
      <c r="J48">
        <v>23062.18</v>
      </c>
    </row>
    <row r="49" spans="1:10" ht="16" customHeight="1" x14ac:dyDescent="0.35">
      <c r="A49" t="s">
        <v>55</v>
      </c>
      <c r="B49">
        <v>1461</v>
      </c>
      <c r="C49">
        <v>208271.75</v>
      </c>
      <c r="D49">
        <v>142.55420000000001</v>
      </c>
      <c r="E49">
        <v>9668.7000000000007</v>
      </c>
      <c r="F49">
        <v>7612.67</v>
      </c>
      <c r="G49">
        <v>3320.63</v>
      </c>
      <c r="H49">
        <v>2953.44</v>
      </c>
      <c r="I49">
        <v>154975.51</v>
      </c>
      <c r="J49">
        <v>29740.799999999999</v>
      </c>
    </row>
    <row r="50" spans="1:10" ht="16" customHeight="1" x14ac:dyDescent="0.35">
      <c r="A50" t="s">
        <v>74</v>
      </c>
      <c r="B50" s="41">
        <f>SUM(Table1[Transactions])</f>
        <v>46498</v>
      </c>
      <c r="C50" s="41">
        <f>SUM(Table1[Revenue])</f>
        <v>6412632.2200000016</v>
      </c>
      <c r="D50" s="41">
        <f>SUM(Table1[Average_Revenue])</f>
        <v>6736.1470999999992</v>
      </c>
      <c r="E50" s="41">
        <f>SUM(Table1[Apparel])</f>
        <v>299559.51</v>
      </c>
      <c r="F50" s="41">
        <f>SUM(Table1[Art_Supplies])</f>
        <v>239912.40999999995</v>
      </c>
      <c r="G50" s="41">
        <f>SUM(Table1[Books])</f>
        <v>107407.42000000001</v>
      </c>
      <c r="H50" s="41">
        <f>SUM(Table1[Stationery])</f>
        <v>98482.62000000001</v>
      </c>
      <c r="I50" s="41">
        <f>SUM(Table1[Technology])</f>
        <v>4554123.47</v>
      </c>
      <c r="J50" s="41">
        <f>SUM(Table1[Textbooks])</f>
        <v>1113146.79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5AB6E-BE6D-4158-996F-E4D9FF423C21}">
  <dimension ref="A1:G6"/>
  <sheetViews>
    <sheetView tabSelected="1" topLeftCell="A16" zoomScale="90" zoomScaleNormal="90" workbookViewId="0">
      <selection activeCell="K22" sqref="K22"/>
    </sheetView>
  </sheetViews>
  <sheetFormatPr defaultRowHeight="14.5" x14ac:dyDescent="0.35"/>
  <cols>
    <col min="1" max="1" width="12.453125" bestFit="1" customWidth="1"/>
    <col min="2" max="2" width="13.54296875" bestFit="1" customWidth="1"/>
    <col min="3" max="3" width="17.26953125" bestFit="1" customWidth="1"/>
    <col min="4" max="4" width="12" bestFit="1" customWidth="1"/>
    <col min="5" max="5" width="15.6328125" bestFit="1" customWidth="1"/>
    <col min="6" max="6" width="16.54296875" bestFit="1" customWidth="1"/>
    <col min="7" max="7" width="15.54296875" bestFit="1" customWidth="1"/>
    <col min="8" max="8" width="12.453125" bestFit="1" customWidth="1"/>
  </cols>
  <sheetData>
    <row r="1" spans="1:7" x14ac:dyDescent="0.35">
      <c r="A1" s="35" t="s">
        <v>66</v>
      </c>
      <c r="B1" s="35" t="s">
        <v>65</v>
      </c>
      <c r="C1" s="35" t="s">
        <v>75</v>
      </c>
      <c r="D1" s="35" t="s">
        <v>61</v>
      </c>
      <c r="E1" s="35" t="s">
        <v>62</v>
      </c>
      <c r="F1" s="35" t="s">
        <v>63</v>
      </c>
      <c r="G1" s="35" t="s">
        <v>64</v>
      </c>
    </row>
    <row r="2" spans="1:7" x14ac:dyDescent="0.35">
      <c r="A2" s="1" t="s">
        <v>68</v>
      </c>
      <c r="B2" s="19">
        <v>37030.89</v>
      </c>
      <c r="C2" s="19">
        <v>30306.37</v>
      </c>
      <c r="D2" s="19">
        <v>15131</v>
      </c>
      <c r="E2" s="19">
        <v>13029.18</v>
      </c>
      <c r="F2" s="19">
        <v>685377.79</v>
      </c>
      <c r="G2" s="19">
        <v>230480.29</v>
      </c>
    </row>
    <row r="3" spans="1:7" x14ac:dyDescent="0.35">
      <c r="A3" s="1" t="s">
        <v>69</v>
      </c>
      <c r="B3" s="19">
        <v>66815.960000000006</v>
      </c>
      <c r="C3" s="19">
        <v>51754.45</v>
      </c>
      <c r="D3" s="19">
        <v>23353.71</v>
      </c>
      <c r="E3" s="19">
        <v>21489.88</v>
      </c>
      <c r="F3" s="19">
        <v>1041766.38</v>
      </c>
      <c r="G3" s="19">
        <v>282710.34000000003</v>
      </c>
    </row>
    <row r="4" spans="1:7" x14ac:dyDescent="0.35">
      <c r="A4" s="1" t="s">
        <v>70</v>
      </c>
      <c r="B4" s="19">
        <v>67050.44</v>
      </c>
      <c r="C4" s="19">
        <v>51915.75</v>
      </c>
      <c r="D4" s="19">
        <v>23401.23</v>
      </c>
      <c r="E4" s="19">
        <v>21560.36</v>
      </c>
      <c r="F4" s="19">
        <v>1043945.64</v>
      </c>
      <c r="G4" s="19">
        <v>283594.39</v>
      </c>
    </row>
    <row r="5" spans="1:7" x14ac:dyDescent="0.35">
      <c r="A5" s="1" t="s">
        <v>71</v>
      </c>
      <c r="B5" s="19">
        <v>128662.22</v>
      </c>
      <c r="C5" s="19">
        <v>105935.84</v>
      </c>
      <c r="D5" s="19">
        <v>45521.48</v>
      </c>
      <c r="E5" s="19">
        <v>42403.199999999997</v>
      </c>
      <c r="F5" s="19">
        <v>1783033.66</v>
      </c>
      <c r="G5" s="19">
        <v>316361.77</v>
      </c>
    </row>
    <row r="6" spans="1:7" x14ac:dyDescent="0.35">
      <c r="A6" s="33" t="s">
        <v>56</v>
      </c>
      <c r="B6" s="34">
        <v>299559.51</v>
      </c>
      <c r="C6" s="34">
        <v>239912.41</v>
      </c>
      <c r="D6" s="34">
        <v>107407.42000000001</v>
      </c>
      <c r="E6" s="34">
        <v>98482.62</v>
      </c>
      <c r="F6" s="34">
        <v>4554123.47</v>
      </c>
      <c r="G6" s="34">
        <v>1113146.79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96C2E-66C5-4B93-9464-DDC65DD8C8D6}">
  <dimension ref="A1:E7"/>
  <sheetViews>
    <sheetView zoomScaleNormal="100" workbookViewId="0">
      <selection activeCell="E8" sqref="E8"/>
    </sheetView>
  </sheetViews>
  <sheetFormatPr defaultColWidth="17.90625" defaultRowHeight="30.5" customHeight="1" x14ac:dyDescent="0.35"/>
  <sheetData>
    <row r="1" spans="1:5" ht="30.5" customHeight="1" x14ac:dyDescent="0.35">
      <c r="A1" s="4" t="s">
        <v>66</v>
      </c>
      <c r="B1" s="5" t="s">
        <v>67</v>
      </c>
      <c r="C1" s="5" t="s">
        <v>72</v>
      </c>
      <c r="D1" s="6" t="s">
        <v>73</v>
      </c>
      <c r="E1" s="28" t="s">
        <v>76</v>
      </c>
    </row>
    <row r="2" spans="1:5" ht="30.5" customHeight="1" x14ac:dyDescent="0.35">
      <c r="A2" s="7">
        <v>2022</v>
      </c>
      <c r="B2" s="8">
        <v>6904</v>
      </c>
      <c r="C2" s="9">
        <v>1011355.52</v>
      </c>
      <c r="D2" s="10">
        <v>84279.626666666663</v>
      </c>
      <c r="E2" s="32">
        <v>0</v>
      </c>
    </row>
    <row r="3" spans="1:5" ht="30.5" customHeight="1" x14ac:dyDescent="0.35">
      <c r="A3" s="11">
        <v>2023</v>
      </c>
      <c r="B3" s="12">
        <v>10580</v>
      </c>
      <c r="C3" s="13">
        <v>1487890.72</v>
      </c>
      <c r="D3" s="14">
        <v>123990.8933333333</v>
      </c>
      <c r="E3" s="31">
        <f t="shared" ref="E2:E5" si="0">(C3-C2)/C2</f>
        <v>0.47118465324636777</v>
      </c>
    </row>
    <row r="4" spans="1:5" ht="30.5" customHeight="1" x14ac:dyDescent="0.35">
      <c r="A4" s="7">
        <v>2024</v>
      </c>
      <c r="B4" s="8">
        <v>10613</v>
      </c>
      <c r="C4" s="9">
        <v>1491467.81</v>
      </c>
      <c r="D4" s="10">
        <v>124288.98416666671</v>
      </c>
      <c r="E4" s="30">
        <f t="shared" si="0"/>
        <v>2.4041348950681564E-3</v>
      </c>
    </row>
    <row r="5" spans="1:5" ht="30.5" customHeight="1" x14ac:dyDescent="0.35">
      <c r="A5" s="15">
        <v>2025</v>
      </c>
      <c r="B5" s="16">
        <v>18401</v>
      </c>
      <c r="C5" s="17">
        <v>2421918.17</v>
      </c>
      <c r="D5" s="18">
        <v>201826.51416666669</v>
      </c>
      <c r="E5" s="29">
        <f t="shared" si="0"/>
        <v>0.62384877082932133</v>
      </c>
    </row>
    <row r="7" spans="1:5" ht="30.5" customHeight="1" x14ac:dyDescent="0.35">
      <c r="C7" s="3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B2303-AF53-4E44-B1F1-BD90AEFBCA20}">
  <dimension ref="A1:J14"/>
  <sheetViews>
    <sheetView workbookViewId="0">
      <selection sqref="A1:J1"/>
    </sheetView>
  </sheetViews>
  <sheetFormatPr defaultRowHeight="14.5" x14ac:dyDescent="0.35"/>
  <cols>
    <col min="1" max="1" width="12.453125" bestFit="1" customWidth="1"/>
    <col min="2" max="2" width="13.54296875" bestFit="1" customWidth="1"/>
    <col min="3" max="3" width="17.7265625" bestFit="1" customWidth="1"/>
    <col min="4" max="4" width="12" bestFit="1" customWidth="1"/>
    <col min="5" max="5" width="15.6328125" bestFit="1" customWidth="1"/>
    <col min="6" max="6" width="16.54296875" bestFit="1" customWidth="1"/>
    <col min="7" max="7" width="15.54296875" bestFit="1" customWidth="1"/>
    <col min="8" max="8" width="13.81640625" customWidth="1"/>
    <col min="9" max="9" width="15.54296875" bestFit="1" customWidth="1"/>
    <col min="10" max="10" width="16.36328125" customWidth="1"/>
  </cols>
  <sheetData>
    <row r="1" spans="1:10" ht="15" thickBot="1" x14ac:dyDescent="0.4">
      <c r="A1" s="35" t="s">
        <v>57</v>
      </c>
      <c r="B1" s="35" t="s">
        <v>65</v>
      </c>
      <c r="C1" s="35" t="s">
        <v>60</v>
      </c>
      <c r="D1" s="35" t="s">
        <v>61</v>
      </c>
      <c r="E1" s="35" t="s">
        <v>62</v>
      </c>
      <c r="F1" s="35" t="s">
        <v>63</v>
      </c>
      <c r="G1" s="35" t="s">
        <v>64</v>
      </c>
      <c r="H1" s="37" t="s">
        <v>58</v>
      </c>
      <c r="I1" s="38" t="s">
        <v>59</v>
      </c>
      <c r="J1" s="38" t="s">
        <v>1</v>
      </c>
    </row>
    <row r="2" spans="1:10" x14ac:dyDescent="0.35">
      <c r="A2" s="1" t="s">
        <v>8</v>
      </c>
      <c r="B2" s="2">
        <v>3632.4</v>
      </c>
      <c r="C2" s="2">
        <v>2283.52</v>
      </c>
      <c r="D2" s="2">
        <v>959.78</v>
      </c>
      <c r="E2" s="2">
        <v>1229.6600000000001</v>
      </c>
      <c r="F2" s="2">
        <v>51086.31</v>
      </c>
      <c r="G2" s="2">
        <v>18759.310000000001</v>
      </c>
      <c r="H2" s="24">
        <v>578</v>
      </c>
      <c r="I2" s="20">
        <v>77950.98</v>
      </c>
      <c r="J2" s="20">
        <v>134.86330000000001</v>
      </c>
    </row>
    <row r="3" spans="1:10" x14ac:dyDescent="0.35">
      <c r="A3" s="1" t="s">
        <v>9</v>
      </c>
      <c r="B3" s="2">
        <v>2199.75</v>
      </c>
      <c r="C3" s="2">
        <v>3224.79</v>
      </c>
      <c r="D3" s="2">
        <v>1244.9100000000001</v>
      </c>
      <c r="E3" s="2">
        <v>1028.28</v>
      </c>
      <c r="F3" s="2">
        <v>55437.16</v>
      </c>
      <c r="G3" s="2">
        <v>17180.8</v>
      </c>
      <c r="H3" s="25">
        <v>570</v>
      </c>
      <c r="I3" s="21">
        <v>80315.69</v>
      </c>
      <c r="J3" s="21">
        <v>140.90469999999999</v>
      </c>
    </row>
    <row r="4" spans="1:10" x14ac:dyDescent="0.35">
      <c r="A4" s="1" t="s">
        <v>10</v>
      </c>
      <c r="B4" s="2">
        <v>3133.64</v>
      </c>
      <c r="C4" s="2">
        <v>2619.12</v>
      </c>
      <c r="D4" s="2">
        <v>1201.73</v>
      </c>
      <c r="E4" s="2">
        <v>1029.43</v>
      </c>
      <c r="F4" s="2">
        <v>59450.9</v>
      </c>
      <c r="G4" s="2">
        <v>15081.54</v>
      </c>
      <c r="H4" s="26">
        <v>553</v>
      </c>
      <c r="I4" s="22">
        <v>82516.36</v>
      </c>
      <c r="J4" s="22">
        <v>149.2158</v>
      </c>
    </row>
    <row r="5" spans="1:10" x14ac:dyDescent="0.35">
      <c r="A5" s="1" t="s">
        <v>11</v>
      </c>
      <c r="B5" s="2">
        <v>3189.07</v>
      </c>
      <c r="C5" s="2">
        <v>1931.28</v>
      </c>
      <c r="D5" s="2">
        <v>1121.48</v>
      </c>
      <c r="E5" s="2">
        <v>1069.98</v>
      </c>
      <c r="F5" s="2">
        <v>61067.94</v>
      </c>
      <c r="G5" s="2">
        <v>20970.560000000001</v>
      </c>
      <c r="H5" s="25">
        <v>571</v>
      </c>
      <c r="I5" s="21">
        <v>89350.31</v>
      </c>
      <c r="J5" s="21">
        <v>156.4804</v>
      </c>
    </row>
    <row r="6" spans="1:10" x14ac:dyDescent="0.35">
      <c r="A6" s="1" t="s">
        <v>12</v>
      </c>
      <c r="B6" s="2">
        <v>3132.81</v>
      </c>
      <c r="C6" s="2">
        <v>3007</v>
      </c>
      <c r="D6" s="2">
        <v>734.89</v>
      </c>
      <c r="E6" s="2">
        <v>1101.3</v>
      </c>
      <c r="F6" s="2">
        <v>63897.67</v>
      </c>
      <c r="G6" s="2">
        <v>23019.22</v>
      </c>
      <c r="H6" s="26">
        <v>610</v>
      </c>
      <c r="I6" s="22">
        <v>94892.89</v>
      </c>
      <c r="J6" s="22">
        <v>155.56209999999999</v>
      </c>
    </row>
    <row r="7" spans="1:10" x14ac:dyDescent="0.35">
      <c r="A7" s="1" t="s">
        <v>13</v>
      </c>
      <c r="B7" s="2">
        <v>2927.67</v>
      </c>
      <c r="C7" s="2">
        <v>1726.3</v>
      </c>
      <c r="D7" s="2">
        <v>1230.96</v>
      </c>
      <c r="E7" s="2">
        <v>1077.8900000000001</v>
      </c>
      <c r="F7" s="2">
        <v>62870.8</v>
      </c>
      <c r="G7" s="2">
        <v>17014.080000000002</v>
      </c>
      <c r="H7" s="25">
        <v>543</v>
      </c>
      <c r="I7" s="21">
        <v>86847.7</v>
      </c>
      <c r="J7" s="21">
        <v>159.94049999999999</v>
      </c>
    </row>
    <row r="8" spans="1:10" x14ac:dyDescent="0.35">
      <c r="A8" s="1" t="s">
        <v>14</v>
      </c>
      <c r="B8" s="2">
        <v>2881.63</v>
      </c>
      <c r="C8" s="2">
        <v>2879.83</v>
      </c>
      <c r="D8" s="2">
        <v>1250.28</v>
      </c>
      <c r="E8" s="2">
        <v>1076.22</v>
      </c>
      <c r="F8" s="2">
        <v>65916.14</v>
      </c>
      <c r="G8" s="2">
        <v>20044.39</v>
      </c>
      <c r="H8" s="26">
        <v>600</v>
      </c>
      <c r="I8" s="22">
        <v>94048.49</v>
      </c>
      <c r="J8" s="22">
        <v>156.7475</v>
      </c>
    </row>
    <row r="9" spans="1:10" x14ac:dyDescent="0.35">
      <c r="A9" s="1" t="s">
        <v>15</v>
      </c>
      <c r="B9" s="2">
        <v>3582.97</v>
      </c>
      <c r="C9" s="2">
        <v>2447.0100000000002</v>
      </c>
      <c r="D9" s="2">
        <v>1111.02</v>
      </c>
      <c r="E9" s="2">
        <v>1159.4100000000001</v>
      </c>
      <c r="F9" s="2">
        <v>60144.88</v>
      </c>
      <c r="G9" s="2">
        <v>18613.07</v>
      </c>
      <c r="H9" s="25">
        <v>573</v>
      </c>
      <c r="I9" s="21">
        <v>87058.36</v>
      </c>
      <c r="J9" s="21">
        <v>151.93430000000001</v>
      </c>
    </row>
    <row r="10" spans="1:10" x14ac:dyDescent="0.35">
      <c r="A10" s="1" t="s">
        <v>16</v>
      </c>
      <c r="B10" s="2">
        <v>2942.9</v>
      </c>
      <c r="C10" s="2">
        <v>2788.04</v>
      </c>
      <c r="D10" s="2">
        <v>1645.85</v>
      </c>
      <c r="E10" s="2">
        <v>1087.8699999999999</v>
      </c>
      <c r="F10" s="2">
        <v>56611.33</v>
      </c>
      <c r="G10" s="2">
        <v>19130.099999999999</v>
      </c>
      <c r="H10" s="26">
        <v>586</v>
      </c>
      <c r="I10" s="22">
        <v>84206.09</v>
      </c>
      <c r="J10" s="22">
        <v>143.69640000000001</v>
      </c>
    </row>
    <row r="11" spans="1:10" x14ac:dyDescent="0.35">
      <c r="A11" s="1" t="s">
        <v>17</v>
      </c>
      <c r="B11" s="2">
        <v>3229.48</v>
      </c>
      <c r="C11" s="2">
        <v>2784.17</v>
      </c>
      <c r="D11" s="2">
        <v>1708.09</v>
      </c>
      <c r="E11" s="2">
        <v>1106.5</v>
      </c>
      <c r="F11" s="2">
        <v>48459.92</v>
      </c>
      <c r="G11" s="2">
        <v>21418.799999999999</v>
      </c>
      <c r="H11" s="25">
        <v>613</v>
      </c>
      <c r="I11" s="21">
        <v>78706.960000000006</v>
      </c>
      <c r="J11" s="21">
        <v>128.3963</v>
      </c>
    </row>
    <row r="12" spans="1:10" x14ac:dyDescent="0.35">
      <c r="A12" s="1" t="s">
        <v>18</v>
      </c>
      <c r="B12" s="2">
        <v>2541.9699999999998</v>
      </c>
      <c r="C12" s="2">
        <v>2190.59</v>
      </c>
      <c r="D12" s="2">
        <v>1407.12</v>
      </c>
      <c r="E12" s="2">
        <v>842.55</v>
      </c>
      <c r="F12" s="2">
        <v>48103.42</v>
      </c>
      <c r="G12" s="2">
        <v>21834.41</v>
      </c>
      <c r="H12" s="26">
        <v>523</v>
      </c>
      <c r="I12" s="22">
        <v>76920.06</v>
      </c>
      <c r="J12" s="22">
        <v>147.07470000000001</v>
      </c>
    </row>
    <row r="13" spans="1:10" ht="15" thickBot="1" x14ac:dyDescent="0.4">
      <c r="A13" s="1" t="s">
        <v>19</v>
      </c>
      <c r="B13" s="2">
        <v>3636.6</v>
      </c>
      <c r="C13" s="2">
        <v>2424.7199999999998</v>
      </c>
      <c r="D13" s="2">
        <v>1514.89</v>
      </c>
      <c r="E13" s="2">
        <v>1220.0899999999999</v>
      </c>
      <c r="F13" s="2">
        <v>52331.32</v>
      </c>
      <c r="G13" s="2">
        <v>17414.009999999998</v>
      </c>
      <c r="H13" s="27">
        <v>584</v>
      </c>
      <c r="I13" s="23">
        <v>78541.63</v>
      </c>
      <c r="J13" s="23">
        <v>134.48910000000001</v>
      </c>
    </row>
    <row r="14" spans="1:10" x14ac:dyDescent="0.35">
      <c r="A14" s="33" t="s">
        <v>56</v>
      </c>
      <c r="B14" s="36">
        <v>37030.89</v>
      </c>
      <c r="C14" s="36">
        <v>30306.37</v>
      </c>
      <c r="D14" s="36">
        <v>15131</v>
      </c>
      <c r="E14" s="36">
        <v>13029.18</v>
      </c>
      <c r="F14" s="36">
        <v>685377.79</v>
      </c>
      <c r="G14" s="36">
        <v>230480.29000000004</v>
      </c>
      <c r="H14" s="2"/>
      <c r="I14" s="2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DB03-3A45-439E-9198-7B94F7FFDD98}">
  <dimension ref="A1:J14"/>
  <sheetViews>
    <sheetView topLeftCell="A18" workbookViewId="0">
      <selection sqref="A1:J1"/>
    </sheetView>
  </sheetViews>
  <sheetFormatPr defaultColWidth="13.36328125" defaultRowHeight="14.5" x14ac:dyDescent="0.35"/>
  <cols>
    <col min="10" max="10" width="15.7265625" customWidth="1"/>
  </cols>
  <sheetData>
    <row r="1" spans="1:10" ht="15" thickBot="1" x14ac:dyDescent="0.4">
      <c r="A1" s="35" t="s">
        <v>57</v>
      </c>
      <c r="B1" s="35" t="s">
        <v>65</v>
      </c>
      <c r="C1" s="35" t="s">
        <v>60</v>
      </c>
      <c r="D1" s="35" t="s">
        <v>61</v>
      </c>
      <c r="E1" s="35" t="s">
        <v>62</v>
      </c>
      <c r="F1" s="35" t="s">
        <v>63</v>
      </c>
      <c r="G1" s="35" t="s">
        <v>64</v>
      </c>
      <c r="H1" s="39" t="s">
        <v>58</v>
      </c>
      <c r="I1" s="39" t="s">
        <v>59</v>
      </c>
      <c r="J1" s="39" t="s">
        <v>1</v>
      </c>
    </row>
    <row r="2" spans="1:10" x14ac:dyDescent="0.35">
      <c r="A2" s="1" t="s">
        <v>20</v>
      </c>
      <c r="B2" s="2">
        <v>5488.06</v>
      </c>
      <c r="C2" s="2">
        <v>3347.87</v>
      </c>
      <c r="D2" s="2">
        <v>2102.9</v>
      </c>
      <c r="E2" s="2">
        <v>1840.79</v>
      </c>
      <c r="F2" s="2">
        <v>96270.720000000001</v>
      </c>
      <c r="G2" s="2">
        <v>18047.349999999999</v>
      </c>
      <c r="H2" s="24">
        <v>855</v>
      </c>
      <c r="I2" s="24">
        <v>127097.69</v>
      </c>
      <c r="J2" s="20">
        <v>148.6523</v>
      </c>
    </row>
    <row r="3" spans="1:10" x14ac:dyDescent="0.35">
      <c r="A3" s="1" t="s">
        <v>21</v>
      </c>
      <c r="B3" s="2">
        <v>5924</v>
      </c>
      <c r="C3" s="2">
        <v>4884.8500000000004</v>
      </c>
      <c r="D3" s="2">
        <v>1325.86</v>
      </c>
      <c r="E3" s="2">
        <v>1953.7</v>
      </c>
      <c r="F3" s="2">
        <v>85240.05</v>
      </c>
      <c r="G3" s="2">
        <v>18836.990000000002</v>
      </c>
      <c r="H3" s="25">
        <v>862</v>
      </c>
      <c r="I3" s="25">
        <v>118165.45</v>
      </c>
      <c r="J3" s="21">
        <v>137.0829</v>
      </c>
    </row>
    <row r="4" spans="1:10" x14ac:dyDescent="0.35">
      <c r="A4" s="1" t="s">
        <v>22</v>
      </c>
      <c r="B4" s="2">
        <v>5457.45</v>
      </c>
      <c r="C4" s="2">
        <v>3936.12</v>
      </c>
      <c r="D4" s="2">
        <v>1915.66</v>
      </c>
      <c r="E4" s="2">
        <v>1852.99</v>
      </c>
      <c r="F4" s="2">
        <v>80893.27</v>
      </c>
      <c r="G4" s="2">
        <v>19280.61</v>
      </c>
      <c r="H4" s="26">
        <v>828</v>
      </c>
      <c r="I4" s="26">
        <v>113336.1</v>
      </c>
      <c r="J4" s="22">
        <v>136.8793</v>
      </c>
    </row>
    <row r="5" spans="1:10" x14ac:dyDescent="0.35">
      <c r="A5" s="1" t="s">
        <v>23</v>
      </c>
      <c r="B5" s="2">
        <v>6244.63</v>
      </c>
      <c r="C5" s="2">
        <v>5120.7700000000004</v>
      </c>
      <c r="D5" s="2">
        <v>2503.3200000000002</v>
      </c>
      <c r="E5" s="2">
        <v>2176.7399999999998</v>
      </c>
      <c r="F5" s="2">
        <v>95946.71</v>
      </c>
      <c r="G5" s="2">
        <v>19843.16</v>
      </c>
      <c r="H5" s="25">
        <v>959</v>
      </c>
      <c r="I5" s="25">
        <v>131835.32999999999</v>
      </c>
      <c r="J5" s="21">
        <v>137.4717</v>
      </c>
    </row>
    <row r="6" spans="1:10" x14ac:dyDescent="0.35">
      <c r="A6" s="1" t="s">
        <v>24</v>
      </c>
      <c r="B6" s="2">
        <v>5369.74</v>
      </c>
      <c r="C6" s="2">
        <v>4624.12</v>
      </c>
      <c r="D6" s="2">
        <v>2034.94</v>
      </c>
      <c r="E6" s="2">
        <v>1628.7</v>
      </c>
      <c r="F6" s="2">
        <v>92938.97</v>
      </c>
      <c r="G6" s="2">
        <v>19604.830000000002</v>
      </c>
      <c r="H6" s="26">
        <v>849</v>
      </c>
      <c r="I6" s="26">
        <v>126201.3</v>
      </c>
      <c r="J6" s="22">
        <v>148.64699999999999</v>
      </c>
    </row>
    <row r="7" spans="1:10" x14ac:dyDescent="0.35">
      <c r="A7" s="1" t="s">
        <v>25</v>
      </c>
      <c r="B7" s="2">
        <v>5570.79</v>
      </c>
      <c r="C7" s="2">
        <v>3907.66</v>
      </c>
      <c r="D7" s="2">
        <v>2107.58</v>
      </c>
      <c r="E7" s="2">
        <v>1598.18</v>
      </c>
      <c r="F7" s="2">
        <v>75351.12</v>
      </c>
      <c r="G7" s="2">
        <v>22210.37</v>
      </c>
      <c r="H7" s="25">
        <v>841</v>
      </c>
      <c r="I7" s="25">
        <v>110745.7</v>
      </c>
      <c r="J7" s="21">
        <v>131.68340000000001</v>
      </c>
    </row>
    <row r="8" spans="1:10" x14ac:dyDescent="0.35">
      <c r="A8" s="1" t="s">
        <v>26</v>
      </c>
      <c r="B8" s="2">
        <v>6184.36</v>
      </c>
      <c r="C8" s="2">
        <v>5720.6</v>
      </c>
      <c r="D8" s="2">
        <v>1641.01</v>
      </c>
      <c r="E8" s="2">
        <v>1642.36</v>
      </c>
      <c r="F8" s="2">
        <v>94947.86</v>
      </c>
      <c r="G8" s="2">
        <v>26934.65</v>
      </c>
      <c r="H8" s="26">
        <v>942</v>
      </c>
      <c r="I8" s="26">
        <v>137070.84</v>
      </c>
      <c r="J8" s="22">
        <v>145.5104</v>
      </c>
    </row>
    <row r="9" spans="1:10" x14ac:dyDescent="0.35">
      <c r="A9" s="1" t="s">
        <v>27</v>
      </c>
      <c r="B9" s="2">
        <v>5650.73</v>
      </c>
      <c r="C9" s="2">
        <v>4775.3999999999996</v>
      </c>
      <c r="D9" s="2">
        <v>2003.58</v>
      </c>
      <c r="E9" s="2">
        <v>1875.11</v>
      </c>
      <c r="F9" s="2">
        <v>89396.94</v>
      </c>
      <c r="G9" s="2">
        <v>29234.48</v>
      </c>
      <c r="H9" s="25">
        <v>949</v>
      </c>
      <c r="I9" s="25">
        <v>132936.24</v>
      </c>
      <c r="J9" s="21">
        <v>140.08029999999999</v>
      </c>
    </row>
    <row r="10" spans="1:10" x14ac:dyDescent="0.35">
      <c r="A10" s="1" t="s">
        <v>28</v>
      </c>
      <c r="B10" s="2">
        <v>4982.97</v>
      </c>
      <c r="C10" s="2">
        <v>3702.86</v>
      </c>
      <c r="D10" s="2">
        <v>1869.67</v>
      </c>
      <c r="E10" s="2">
        <v>1510.31</v>
      </c>
      <c r="F10" s="2">
        <v>95429.33</v>
      </c>
      <c r="G10" s="2">
        <v>29527.46</v>
      </c>
      <c r="H10" s="26">
        <v>849</v>
      </c>
      <c r="I10" s="26">
        <v>137022.6</v>
      </c>
      <c r="J10" s="22">
        <v>161.3929</v>
      </c>
    </row>
    <row r="11" spans="1:10" x14ac:dyDescent="0.35">
      <c r="A11" s="1" t="s">
        <v>29</v>
      </c>
      <c r="B11" s="2">
        <v>4774.92</v>
      </c>
      <c r="C11" s="2">
        <v>3819.51</v>
      </c>
      <c r="D11" s="2">
        <v>1726.41</v>
      </c>
      <c r="E11" s="2">
        <v>1710.44</v>
      </c>
      <c r="F11" s="2">
        <v>83385.919999999998</v>
      </c>
      <c r="G11" s="2">
        <v>23496.1</v>
      </c>
      <c r="H11" s="25">
        <v>844</v>
      </c>
      <c r="I11" s="25">
        <v>118913.3</v>
      </c>
      <c r="J11" s="21">
        <v>140.89250000000001</v>
      </c>
    </row>
    <row r="12" spans="1:10" x14ac:dyDescent="0.35">
      <c r="A12" s="1" t="s">
        <v>30</v>
      </c>
      <c r="B12" s="2">
        <v>5208.09</v>
      </c>
      <c r="C12" s="2">
        <v>3735</v>
      </c>
      <c r="D12" s="2">
        <v>2262.5700000000002</v>
      </c>
      <c r="E12" s="2">
        <v>1782.42</v>
      </c>
      <c r="F12" s="2">
        <v>81940.25</v>
      </c>
      <c r="G12" s="2">
        <v>27199.19</v>
      </c>
      <c r="H12" s="26">
        <v>891</v>
      </c>
      <c r="I12" s="26">
        <v>122127.52</v>
      </c>
      <c r="J12" s="22">
        <v>137.06790000000001</v>
      </c>
    </row>
    <row r="13" spans="1:10" ht="15" thickBot="1" x14ac:dyDescent="0.4">
      <c r="A13" s="1" t="s">
        <v>31</v>
      </c>
      <c r="B13" s="2">
        <v>5960.22</v>
      </c>
      <c r="C13" s="2">
        <v>4179.6899999999996</v>
      </c>
      <c r="D13" s="2">
        <v>1860.21</v>
      </c>
      <c r="E13" s="2">
        <v>1918.14</v>
      </c>
      <c r="F13" s="2">
        <v>70025.240000000005</v>
      </c>
      <c r="G13" s="2">
        <v>28495.15</v>
      </c>
      <c r="H13" s="27">
        <v>911</v>
      </c>
      <c r="I13" s="27">
        <v>112438.65</v>
      </c>
      <c r="J13" s="23">
        <v>123.4233</v>
      </c>
    </row>
    <row r="14" spans="1:10" x14ac:dyDescent="0.35">
      <c r="A14" s="33" t="s">
        <v>56</v>
      </c>
      <c r="B14" s="36">
        <v>66815.960000000006</v>
      </c>
      <c r="C14" s="36">
        <v>51754.450000000004</v>
      </c>
      <c r="D14" s="36">
        <v>23353.71</v>
      </c>
      <c r="E14" s="36">
        <v>21489.879999999997</v>
      </c>
      <c r="F14" s="36">
        <v>1041766.3800000001</v>
      </c>
      <c r="G14" s="36">
        <v>282710.34000000003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4F1D-6B72-4BAB-A194-1BD86A6F5EC5}">
  <dimension ref="A1:J14"/>
  <sheetViews>
    <sheetView topLeftCell="A15" workbookViewId="0">
      <selection sqref="A1:J1"/>
    </sheetView>
  </sheetViews>
  <sheetFormatPr defaultColWidth="12.7265625" defaultRowHeight="14.5" x14ac:dyDescent="0.35"/>
  <cols>
    <col min="10" max="10" width="15.54296875" customWidth="1"/>
  </cols>
  <sheetData>
    <row r="1" spans="1:10" ht="15" thickBot="1" x14ac:dyDescent="0.4">
      <c r="A1" s="35" t="s">
        <v>57</v>
      </c>
      <c r="B1" s="35" t="s">
        <v>65</v>
      </c>
      <c r="C1" s="35" t="s">
        <v>61</v>
      </c>
      <c r="D1" s="35" t="s">
        <v>60</v>
      </c>
      <c r="E1" s="35" t="s">
        <v>62</v>
      </c>
      <c r="F1" s="35" t="s">
        <v>63</v>
      </c>
      <c r="G1" s="35" t="s">
        <v>64</v>
      </c>
      <c r="H1" s="39" t="s">
        <v>58</v>
      </c>
      <c r="I1" s="39" t="s">
        <v>59</v>
      </c>
      <c r="J1" s="39" t="s">
        <v>1</v>
      </c>
    </row>
    <row r="2" spans="1:10" x14ac:dyDescent="0.35">
      <c r="A2" s="1" t="s">
        <v>32</v>
      </c>
      <c r="B2" s="2">
        <v>6636.16</v>
      </c>
      <c r="C2" s="2">
        <v>1487.43</v>
      </c>
      <c r="D2" s="2">
        <v>5427.52</v>
      </c>
      <c r="E2" s="2">
        <v>2144.59</v>
      </c>
      <c r="F2" s="2">
        <v>94414.21</v>
      </c>
      <c r="G2" s="2">
        <v>20397.919999999998</v>
      </c>
      <c r="H2" s="24">
        <v>959</v>
      </c>
      <c r="I2" s="24">
        <v>130507.83</v>
      </c>
      <c r="J2" s="24">
        <v>136.0874</v>
      </c>
    </row>
    <row r="3" spans="1:10" x14ac:dyDescent="0.35">
      <c r="A3" s="1" t="s">
        <v>33</v>
      </c>
      <c r="B3" s="2">
        <v>4979.7700000000004</v>
      </c>
      <c r="C3" s="2">
        <v>1801.61</v>
      </c>
      <c r="D3" s="2">
        <v>3554.75</v>
      </c>
      <c r="E3" s="2">
        <v>1732.58</v>
      </c>
      <c r="F3" s="2">
        <v>73898.37</v>
      </c>
      <c r="G3" s="2">
        <v>18603.73</v>
      </c>
      <c r="H3" s="25">
        <v>764</v>
      </c>
      <c r="I3" s="25">
        <v>104570.81</v>
      </c>
      <c r="J3" s="25">
        <v>136.87280000000001</v>
      </c>
    </row>
    <row r="4" spans="1:10" x14ac:dyDescent="0.35">
      <c r="A4" s="1" t="s">
        <v>34</v>
      </c>
      <c r="B4" s="2">
        <v>6553.73</v>
      </c>
      <c r="C4" s="2">
        <v>2503.3200000000002</v>
      </c>
      <c r="D4" s="2">
        <v>5314.94</v>
      </c>
      <c r="E4" s="2">
        <v>2265.29</v>
      </c>
      <c r="F4" s="2">
        <v>96788</v>
      </c>
      <c r="G4" s="2">
        <v>20382.919999999998</v>
      </c>
      <c r="H4" s="26">
        <v>989</v>
      </c>
      <c r="I4" s="26">
        <v>133808.20000000001</v>
      </c>
      <c r="J4" s="26">
        <v>135.29650000000001</v>
      </c>
    </row>
    <row r="5" spans="1:10" x14ac:dyDescent="0.35">
      <c r="A5" s="1" t="s">
        <v>35</v>
      </c>
      <c r="B5" s="2">
        <v>5060.6400000000003</v>
      </c>
      <c r="C5" s="2">
        <v>2034.94</v>
      </c>
      <c r="D5" s="2">
        <v>4429.95</v>
      </c>
      <c r="E5" s="2">
        <v>1540.15</v>
      </c>
      <c r="F5" s="2">
        <v>92097.68</v>
      </c>
      <c r="G5" s="2">
        <v>19065.07</v>
      </c>
      <c r="H5" s="25">
        <v>819</v>
      </c>
      <c r="I5" s="25">
        <v>124228.43</v>
      </c>
      <c r="J5" s="25">
        <v>151.6831</v>
      </c>
    </row>
    <row r="6" spans="1:10" x14ac:dyDescent="0.35">
      <c r="A6" s="1" t="s">
        <v>36</v>
      </c>
      <c r="B6" s="2">
        <v>5626.71</v>
      </c>
      <c r="C6" s="2">
        <v>2176.4</v>
      </c>
      <c r="D6" s="2">
        <v>4105.8599999999997</v>
      </c>
      <c r="E6" s="2">
        <v>1640.71</v>
      </c>
      <c r="F6" s="2">
        <v>80014.16</v>
      </c>
      <c r="G6" s="2">
        <v>22873.49</v>
      </c>
      <c r="H6" s="26">
        <v>869</v>
      </c>
      <c r="I6" s="26">
        <v>116437.33</v>
      </c>
      <c r="J6" s="26">
        <v>133.99</v>
      </c>
    </row>
    <row r="7" spans="1:10" x14ac:dyDescent="0.35">
      <c r="A7" s="1" t="s">
        <v>37</v>
      </c>
      <c r="B7" s="2">
        <v>6128.44</v>
      </c>
      <c r="C7" s="2">
        <v>1572.19</v>
      </c>
      <c r="D7" s="2">
        <v>5522.4</v>
      </c>
      <c r="E7" s="2">
        <v>1599.83</v>
      </c>
      <c r="F7" s="2">
        <v>90284.82</v>
      </c>
      <c r="G7" s="2">
        <v>26271.53</v>
      </c>
      <c r="H7" s="25">
        <v>914</v>
      </c>
      <c r="I7" s="25">
        <v>131379.21</v>
      </c>
      <c r="J7" s="25">
        <v>143.74090000000001</v>
      </c>
    </row>
    <row r="8" spans="1:10" x14ac:dyDescent="0.35">
      <c r="A8" s="1" t="s">
        <v>38</v>
      </c>
      <c r="B8" s="2">
        <v>5650.73</v>
      </c>
      <c r="C8" s="2">
        <v>2003.58</v>
      </c>
      <c r="D8" s="2">
        <v>4775.3999999999996</v>
      </c>
      <c r="E8" s="2">
        <v>1875.11</v>
      </c>
      <c r="F8" s="2">
        <v>89396.94</v>
      </c>
      <c r="G8" s="2">
        <v>29234.48</v>
      </c>
      <c r="H8" s="26">
        <v>949</v>
      </c>
      <c r="I8" s="26">
        <v>132936.24</v>
      </c>
      <c r="J8" s="26">
        <v>140.08029999999999</v>
      </c>
    </row>
    <row r="9" spans="1:10" x14ac:dyDescent="0.35">
      <c r="A9" s="1" t="s">
        <v>39</v>
      </c>
      <c r="B9" s="2">
        <v>5089.51</v>
      </c>
      <c r="C9" s="2">
        <v>1890.03</v>
      </c>
      <c r="D9" s="2">
        <v>3805.57</v>
      </c>
      <c r="E9" s="2">
        <v>1560.65</v>
      </c>
      <c r="F9" s="2">
        <v>97266.3</v>
      </c>
      <c r="G9" s="2">
        <v>29773.16</v>
      </c>
      <c r="H9" s="25">
        <v>873</v>
      </c>
      <c r="I9" s="25">
        <v>139385.22</v>
      </c>
      <c r="J9" s="25">
        <v>159.66229999999999</v>
      </c>
    </row>
    <row r="10" spans="1:10" x14ac:dyDescent="0.35">
      <c r="A10" s="1" t="s">
        <v>40</v>
      </c>
      <c r="B10" s="2">
        <v>4668.38</v>
      </c>
      <c r="C10" s="2">
        <v>1706.05</v>
      </c>
      <c r="D10" s="2">
        <v>3716.8</v>
      </c>
      <c r="E10" s="2">
        <v>1660.1</v>
      </c>
      <c r="F10" s="2">
        <v>81548.95</v>
      </c>
      <c r="G10" s="2">
        <v>23250.400000000001</v>
      </c>
      <c r="H10" s="26">
        <v>820</v>
      </c>
      <c r="I10" s="26">
        <v>116550.68</v>
      </c>
      <c r="J10" s="26">
        <v>142.13499999999999</v>
      </c>
    </row>
    <row r="11" spans="1:10" x14ac:dyDescent="0.35">
      <c r="A11" s="1" t="s">
        <v>41</v>
      </c>
      <c r="B11" s="2">
        <v>5434.43</v>
      </c>
      <c r="C11" s="2">
        <v>2274.69</v>
      </c>
      <c r="D11" s="2">
        <v>3852.46</v>
      </c>
      <c r="E11" s="2">
        <v>1813.35</v>
      </c>
      <c r="F11" s="2">
        <v>82761.61</v>
      </c>
      <c r="G11" s="2">
        <v>28067.7</v>
      </c>
      <c r="H11" s="25">
        <v>917</v>
      </c>
      <c r="I11" s="25">
        <v>124204.24</v>
      </c>
      <c r="J11" s="25">
        <v>135.44630000000001</v>
      </c>
    </row>
    <row r="12" spans="1:10" x14ac:dyDescent="0.35">
      <c r="A12" s="1" t="s">
        <v>42</v>
      </c>
      <c r="B12" s="2">
        <v>5733.88</v>
      </c>
      <c r="C12" s="2">
        <v>1848.09</v>
      </c>
      <c r="D12" s="2">
        <v>4062.23</v>
      </c>
      <c r="E12" s="2">
        <v>1887.21</v>
      </c>
      <c r="F12" s="2">
        <v>69203.88</v>
      </c>
      <c r="G12" s="2">
        <v>27626.639999999999</v>
      </c>
      <c r="H12" s="26">
        <v>885</v>
      </c>
      <c r="I12" s="26">
        <v>110361.93</v>
      </c>
      <c r="J12" s="26">
        <v>124.70269999999999</v>
      </c>
    </row>
    <row r="13" spans="1:10" ht="15" thickBot="1" x14ac:dyDescent="0.4">
      <c r="A13" s="1" t="s">
        <v>43</v>
      </c>
      <c r="B13" s="2">
        <v>5488.06</v>
      </c>
      <c r="C13" s="2">
        <v>2102.9</v>
      </c>
      <c r="D13" s="2">
        <v>3347.87</v>
      </c>
      <c r="E13" s="2">
        <v>1840.79</v>
      </c>
      <c r="F13" s="2">
        <v>96270.720000000001</v>
      </c>
      <c r="G13" s="2">
        <v>18047.349999999999</v>
      </c>
      <c r="H13" s="27">
        <v>855</v>
      </c>
      <c r="I13" s="27">
        <v>127097.69</v>
      </c>
      <c r="J13" s="27">
        <v>148.6523</v>
      </c>
    </row>
    <row r="14" spans="1:10" x14ac:dyDescent="0.35">
      <c r="A14" s="33" t="s">
        <v>56</v>
      </c>
      <c r="B14" s="36">
        <v>67050.439999999988</v>
      </c>
      <c r="C14" s="36">
        <v>23401.230000000003</v>
      </c>
      <c r="D14" s="36">
        <v>51915.750000000007</v>
      </c>
      <c r="E14" s="36">
        <v>21560.36</v>
      </c>
      <c r="F14" s="36">
        <v>1043945.6399999999</v>
      </c>
      <c r="G14" s="36">
        <v>283594.38999999996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59C6-1EF3-4F4B-8ACE-97168269C4A0}">
  <dimension ref="A1:J14"/>
  <sheetViews>
    <sheetView topLeftCell="A15" workbookViewId="0">
      <selection activeCell="F31" sqref="F31"/>
    </sheetView>
  </sheetViews>
  <sheetFormatPr defaultColWidth="14.08984375" defaultRowHeight="14.5" x14ac:dyDescent="0.35"/>
  <cols>
    <col min="10" max="10" width="15.26953125" customWidth="1"/>
  </cols>
  <sheetData>
    <row r="1" spans="1:10" ht="15" thickBot="1" x14ac:dyDescent="0.4">
      <c r="A1" s="35" t="s">
        <v>57</v>
      </c>
      <c r="B1" s="35" t="s">
        <v>65</v>
      </c>
      <c r="C1" s="35" t="s">
        <v>60</v>
      </c>
      <c r="D1" s="35" t="s">
        <v>61</v>
      </c>
      <c r="E1" s="35" t="s">
        <v>62</v>
      </c>
      <c r="F1" s="35" t="s">
        <v>63</v>
      </c>
      <c r="G1" s="35" t="s">
        <v>64</v>
      </c>
      <c r="H1" s="40" t="s">
        <v>58</v>
      </c>
      <c r="I1" s="40" t="s">
        <v>59</v>
      </c>
      <c r="J1" s="40" t="s">
        <v>1</v>
      </c>
    </row>
    <row r="2" spans="1:10" x14ac:dyDescent="0.35">
      <c r="A2" s="1" t="s">
        <v>44</v>
      </c>
      <c r="B2" s="2">
        <v>11060.32</v>
      </c>
      <c r="C2" s="2">
        <v>9497.33</v>
      </c>
      <c r="D2" s="2">
        <v>3653.6</v>
      </c>
      <c r="E2" s="2">
        <v>3888.98</v>
      </c>
      <c r="F2" s="2">
        <v>138621.67000000001</v>
      </c>
      <c r="G2" s="2">
        <v>14284.15</v>
      </c>
      <c r="H2" s="24">
        <v>1463</v>
      </c>
      <c r="I2" s="24">
        <v>181006.05</v>
      </c>
      <c r="J2" s="24">
        <v>123.7225</v>
      </c>
    </row>
    <row r="3" spans="1:10" x14ac:dyDescent="0.35">
      <c r="A3" s="1" t="s">
        <v>45</v>
      </c>
      <c r="B3" s="2">
        <v>9009.19</v>
      </c>
      <c r="C3" s="2">
        <v>7018.05</v>
      </c>
      <c r="D3" s="2">
        <v>2918.32</v>
      </c>
      <c r="E3" s="2">
        <v>3067.68</v>
      </c>
      <c r="F3" s="2">
        <v>131269.65</v>
      </c>
      <c r="G3" s="2">
        <v>12443.31</v>
      </c>
      <c r="H3" s="25">
        <v>1210</v>
      </c>
      <c r="I3" s="25">
        <v>165726.20000000001</v>
      </c>
      <c r="J3" s="25">
        <v>136.96379999999999</v>
      </c>
    </row>
    <row r="4" spans="1:10" x14ac:dyDescent="0.35">
      <c r="A4" s="1" t="s">
        <v>46</v>
      </c>
      <c r="B4" s="2">
        <v>9456.3700000000008</v>
      </c>
      <c r="C4" s="2">
        <v>8656.48</v>
      </c>
      <c r="D4" s="2">
        <v>3839.4</v>
      </c>
      <c r="E4" s="2">
        <v>3185.88</v>
      </c>
      <c r="F4" s="2">
        <v>136640.48000000001</v>
      </c>
      <c r="G4" s="2">
        <v>21365.7</v>
      </c>
      <c r="H4" s="26">
        <v>1409</v>
      </c>
      <c r="I4" s="26">
        <v>183144.31</v>
      </c>
      <c r="J4" s="26">
        <v>129.98179999999999</v>
      </c>
    </row>
    <row r="5" spans="1:10" x14ac:dyDescent="0.35">
      <c r="A5" s="1" t="s">
        <v>47</v>
      </c>
      <c r="B5" s="2">
        <v>12929.77</v>
      </c>
      <c r="C5" s="2">
        <v>11310.65</v>
      </c>
      <c r="D5" s="2">
        <v>4480.54</v>
      </c>
      <c r="E5" s="2">
        <v>4856.1899999999996</v>
      </c>
      <c r="F5" s="2">
        <v>102381.4</v>
      </c>
      <c r="G5" s="2">
        <v>32895.31</v>
      </c>
      <c r="H5" s="25">
        <v>1800</v>
      </c>
      <c r="I5" s="25">
        <v>168853.86</v>
      </c>
      <c r="J5" s="25">
        <v>93.807699999999997</v>
      </c>
    </row>
    <row r="6" spans="1:10" x14ac:dyDescent="0.35">
      <c r="A6" s="1" t="s">
        <v>48</v>
      </c>
      <c r="B6" s="2">
        <v>14308.74</v>
      </c>
      <c r="C6" s="2">
        <v>11924.65</v>
      </c>
      <c r="D6" s="2">
        <v>5341.24</v>
      </c>
      <c r="E6" s="2">
        <v>4509.87</v>
      </c>
      <c r="F6" s="2">
        <v>118406.29</v>
      </c>
      <c r="G6" s="2">
        <v>31827.87</v>
      </c>
      <c r="H6" s="26">
        <v>1834</v>
      </c>
      <c r="I6" s="26">
        <v>186318.66</v>
      </c>
      <c r="J6" s="26">
        <v>101.59139999999999</v>
      </c>
    </row>
    <row r="7" spans="1:10" x14ac:dyDescent="0.35">
      <c r="A7" s="1" t="s">
        <v>49</v>
      </c>
      <c r="B7" s="2">
        <v>14545.92</v>
      </c>
      <c r="C7" s="2">
        <v>10772.21</v>
      </c>
      <c r="D7" s="2">
        <v>4565.54</v>
      </c>
      <c r="E7" s="2">
        <v>4538.95</v>
      </c>
      <c r="F7" s="2">
        <v>99140.64</v>
      </c>
      <c r="G7" s="2">
        <v>33683.379999999997</v>
      </c>
      <c r="H7" s="25">
        <v>1755</v>
      </c>
      <c r="I7" s="25">
        <v>167246.64000000001</v>
      </c>
      <c r="J7" s="25">
        <v>95.297200000000004</v>
      </c>
    </row>
    <row r="8" spans="1:10" x14ac:dyDescent="0.35">
      <c r="A8" s="1" t="s">
        <v>50</v>
      </c>
      <c r="B8" s="2">
        <v>9013.64</v>
      </c>
      <c r="C8" s="2">
        <v>6169.08</v>
      </c>
      <c r="D8" s="2">
        <v>3243.61</v>
      </c>
      <c r="E8" s="2">
        <v>2958.09</v>
      </c>
      <c r="F8" s="2">
        <v>156807.07999999999</v>
      </c>
      <c r="G8" s="2">
        <v>26449.08</v>
      </c>
      <c r="H8" s="26">
        <v>1333</v>
      </c>
      <c r="I8" s="26">
        <v>204640.58</v>
      </c>
      <c r="J8" s="26">
        <v>153.5188</v>
      </c>
    </row>
    <row r="9" spans="1:10" x14ac:dyDescent="0.35">
      <c r="A9" s="1" t="s">
        <v>51</v>
      </c>
      <c r="B9" s="2">
        <v>8361.7999999999993</v>
      </c>
      <c r="C9" s="2">
        <v>7645.61</v>
      </c>
      <c r="D9" s="2">
        <v>2998.39</v>
      </c>
      <c r="E9" s="2">
        <v>2709.34</v>
      </c>
      <c r="F9" s="2">
        <v>161517.13</v>
      </c>
      <c r="G9" s="2">
        <v>26359.360000000001</v>
      </c>
      <c r="H9" s="25">
        <v>1339</v>
      </c>
      <c r="I9" s="25">
        <v>209591.63</v>
      </c>
      <c r="J9" s="25">
        <v>156.52850000000001</v>
      </c>
    </row>
    <row r="10" spans="1:10" x14ac:dyDescent="0.35">
      <c r="A10" s="1" t="s">
        <v>52</v>
      </c>
      <c r="B10" s="2">
        <v>8783.94</v>
      </c>
      <c r="C10" s="2">
        <v>7283.78</v>
      </c>
      <c r="D10" s="2">
        <v>3120.1</v>
      </c>
      <c r="E10" s="2">
        <v>2523.5700000000002</v>
      </c>
      <c r="F10" s="2">
        <v>150733.42000000001</v>
      </c>
      <c r="G10" s="2">
        <v>23670.13</v>
      </c>
      <c r="H10" s="26">
        <v>1304</v>
      </c>
      <c r="I10" s="26">
        <v>196114.94</v>
      </c>
      <c r="J10" s="26">
        <v>150.39490000000001</v>
      </c>
    </row>
    <row r="11" spans="1:10" x14ac:dyDescent="0.35">
      <c r="A11" s="1" t="s">
        <v>53</v>
      </c>
      <c r="B11" s="2">
        <v>13414.3</v>
      </c>
      <c r="C11" s="2">
        <v>10562.4</v>
      </c>
      <c r="D11" s="2">
        <v>4909.59</v>
      </c>
      <c r="E11" s="2">
        <v>4294.84</v>
      </c>
      <c r="F11" s="2">
        <v>257001.19</v>
      </c>
      <c r="G11" s="2">
        <v>40580.5</v>
      </c>
      <c r="H11" s="25">
        <v>2093</v>
      </c>
      <c r="I11" s="25">
        <v>330762.82</v>
      </c>
      <c r="J11" s="25">
        <v>158.03290000000001</v>
      </c>
    </row>
    <row r="12" spans="1:10" x14ac:dyDescent="0.35">
      <c r="A12" s="1" t="s">
        <v>54</v>
      </c>
      <c r="B12" s="2">
        <v>8109.53</v>
      </c>
      <c r="C12" s="2">
        <v>7482.93</v>
      </c>
      <c r="D12" s="2">
        <v>3130.52</v>
      </c>
      <c r="E12" s="2">
        <v>2916.37</v>
      </c>
      <c r="F12" s="2">
        <v>175539.20000000001</v>
      </c>
      <c r="G12" s="2">
        <v>23062.18</v>
      </c>
      <c r="H12" s="26">
        <v>1400</v>
      </c>
      <c r="I12" s="26">
        <v>220240.73</v>
      </c>
      <c r="J12" s="26">
        <v>157.31479999999999</v>
      </c>
    </row>
    <row r="13" spans="1:10" ht="15" thickBot="1" x14ac:dyDescent="0.4">
      <c r="A13" s="1" t="s">
        <v>55</v>
      </c>
      <c r="B13" s="2">
        <v>9668.7000000000007</v>
      </c>
      <c r="C13" s="2">
        <v>7612.67</v>
      </c>
      <c r="D13" s="2">
        <v>3320.63</v>
      </c>
      <c r="E13" s="2">
        <v>2953.44</v>
      </c>
      <c r="F13" s="2">
        <v>154975.51</v>
      </c>
      <c r="G13" s="2">
        <v>29740.799999999999</v>
      </c>
      <c r="H13" s="27">
        <v>1461</v>
      </c>
      <c r="I13" s="27">
        <v>208271.75</v>
      </c>
      <c r="J13" s="27">
        <v>142.55420000000001</v>
      </c>
    </row>
    <row r="14" spans="1:10" x14ac:dyDescent="0.35">
      <c r="A14" s="33" t="s">
        <v>56</v>
      </c>
      <c r="B14" s="36">
        <v>128662.22000000002</v>
      </c>
      <c r="C14" s="36">
        <v>105935.83999999998</v>
      </c>
      <c r="D14" s="36">
        <v>45521.479999999996</v>
      </c>
      <c r="E14" s="36">
        <v>42403.200000000004</v>
      </c>
      <c r="F14" s="36">
        <v>1783033.66</v>
      </c>
      <c r="G14" s="36">
        <v>316361.76999999996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LTV_Report_PhysicalST </vt:lpstr>
      <vt:lpstr>Category_Breakdown</vt:lpstr>
      <vt:lpstr>Annual_Revenue_SM</vt:lpstr>
      <vt:lpstr>Montly_Sales_RP_22</vt:lpstr>
      <vt:lpstr>Montly_Sales_RP_23</vt:lpstr>
      <vt:lpstr>Montly_Sales_RP_24</vt:lpstr>
      <vt:lpstr>Montly_Sales_RP_25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sthefanie ramirez</cp:lastModifiedBy>
  <dcterms:created xsi:type="dcterms:W3CDTF">2026-05-01T05:11:26Z</dcterms:created>
  <dcterms:modified xsi:type="dcterms:W3CDTF">2026-05-01T11:12:45Z</dcterms:modified>
</cp:coreProperties>
</file>