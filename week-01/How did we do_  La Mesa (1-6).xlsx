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thef\data-analytics\week-01\"/>
    </mc:Choice>
  </mc:AlternateContent>
  <xr:revisionPtr revIDLastSave="0" documentId="13_ncr:1_{76FB59D9-821C-4957-A2C2-605BB95CF7E1}" xr6:coauthVersionLast="47" xr6:coauthVersionMax="47" xr10:uidLastSave="{00000000-0000-0000-0000-000000000000}"/>
  <bookViews>
    <workbookView xWindow="4620" yWindow="948" windowWidth="18492" windowHeight="10968" xr2:uid="{00000000-000D-0000-FFFF-FFFF00000000}"/>
  </bookViews>
  <sheets>
    <sheet name="La_Mesa_Survey" sheetId="1" r:id="rId1"/>
    <sheet name="Grapht" sheetId="2" r:id="rId2"/>
  </sheets>
  <calcPr calcId="191029"/>
  <pivotCaches>
    <pivotCache cacheId="1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H8" i="1"/>
  <c r="D8" i="1"/>
  <c r="I8" i="1"/>
  <c r="K8" i="1"/>
  <c r="D2" i="1"/>
  <c r="D3" i="1"/>
  <c r="D4" i="1"/>
  <c r="D5" i="1"/>
  <c r="D6" i="1"/>
  <c r="D7" i="1"/>
</calcChain>
</file>

<file path=xl/sharedStrings.xml><?xml version="1.0" encoding="utf-8"?>
<sst xmlns="http://schemas.openxmlformats.org/spreadsheetml/2006/main" count="81" uniqueCount="54">
  <si>
    <t>ID</t>
  </si>
  <si>
    <t>Start time</t>
  </si>
  <si>
    <t>Completion time</t>
  </si>
  <si>
    <t>Email</t>
  </si>
  <si>
    <t>Name</t>
  </si>
  <si>
    <t>Last modified time</t>
  </si>
  <si>
    <t xml:space="preserve">How would you rate your overall experience today?
</t>
  </si>
  <si>
    <t xml:space="preserve">How long did it take for your food to arrive after ordering?
</t>
  </si>
  <si>
    <t xml:space="preserve">What stood out most about your visit today?
</t>
  </si>
  <si>
    <t xml:space="preserve">How often do you visit La Mesa Alegre?
</t>
  </si>
  <si>
    <t>What kind of rewards would make you more likely to come back regularly?</t>
  </si>
  <si>
    <t xml:space="preserve">How would you prefer to track your rewards?
</t>
  </si>
  <si>
    <t xml:space="preserve">How likely are you to visit us again?
</t>
  </si>
  <si>
    <t>Is there anything else you'd like us to know something you loved, something we could improve, or any suggestions?</t>
  </si>
  <si>
    <t>nmiranda@my.yearupunited.org</t>
  </si>
  <si>
    <t>natalia miranda</t>
  </si>
  <si>
    <t>Under 10 minutes</t>
  </si>
  <si>
    <t>Friendly service;</t>
  </si>
  <si>
    <t>This is my first time</t>
  </si>
  <si>
    <t>Birthday reward;Free item after a set number of visits;</t>
  </si>
  <si>
    <t>A mobile app</t>
  </si>
  <si>
    <t>dsanchez1@my.yearupunited.org</t>
  </si>
  <si>
    <t>dahlia sanchez</t>
  </si>
  <si>
    <t>Food quality &amp; flavor;Friendly service;Cleanliness;</t>
  </si>
  <si>
    <t>Once or twice so far</t>
  </si>
  <si>
    <t>Birthday reward;</t>
  </si>
  <si>
    <t>jgoode@my.yearupunited.org</t>
  </si>
  <si>
    <t>jeremiah goode</t>
  </si>
  <si>
    <t>10-20 minutes</t>
  </si>
  <si>
    <t>Food quality &amp; flavor;Friendly service;Speed of service;</t>
  </si>
  <si>
    <t>A few times a month</t>
  </si>
  <si>
    <t>Free item after a set number of visits;Discount on a future order;</t>
  </si>
  <si>
    <t>A loyalty number at checkout</t>
  </si>
  <si>
    <t>I love coming here with family. The service is fast and friendly, and the restaurant is super clean. I would say maybe add a little more deals because the menu can be very expensive at times.</t>
  </si>
  <si>
    <t>dlomeli@my.yearupunited.org</t>
  </si>
  <si>
    <t>destiney lomeli</t>
  </si>
  <si>
    <t>Over 30 minutes</t>
  </si>
  <si>
    <t>Food quality &amp; flavor;Restaurant atmosphere / vibe;</t>
  </si>
  <si>
    <t>My food took longer than an hour to arrive and when I'd ask for updates I'd get ignored! Please improve your customer service.</t>
  </si>
  <si>
    <t>BHambleton@YearUp.org</t>
  </si>
  <si>
    <t>Bess Hambleton</t>
  </si>
  <si>
    <t>Food quality &amp; flavor;Friendly service;Restaurant atmosphere / vibe;Cleanliness;</t>
  </si>
  <si>
    <t>Free item after a set number of visits;</t>
  </si>
  <si>
    <t>more cushy seats</t>
  </si>
  <si>
    <t>bcarrillo-valencia@my.yearupunited.org</t>
  </si>
  <si>
    <t>brandon carrillo-valencia</t>
  </si>
  <si>
    <t>Food quality &amp; flavor;Friendly service;Restaurant atmosphere / vibe;Cleanliness;Speed of service;</t>
  </si>
  <si>
    <t>Very good service!</t>
  </si>
  <si>
    <t>Time to complete</t>
  </si>
  <si>
    <t>Row Labels</t>
  </si>
  <si>
    <t>Grand Total</t>
  </si>
  <si>
    <t>Sum of ID</t>
  </si>
  <si>
    <t xml:space="preserve">Sum of How likely are you to visit us again?
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</si>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</sst>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5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165" fontId="0" fillId="0" borderId="0" xfId="0" applyNumberFormat="1"/>
    <xf numFmtId="165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45" fontId="0" fillId="0" borderId="0" xfId="0" applyNumberFormat="1" applyAlignment="1">
      <alignment horizontal="center" vertical="center"/>
    </xf>
    <xf numFmtId="45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wrapText="1"/>
    </xf>
    <xf numFmtId="164" fontId="0" fillId="0" borderId="0" xfId="0" applyNumberFormat="1" applyAlignment="1">
      <alignment horizontal="center" wrapText="1"/>
    </xf>
    <xf numFmtId="0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165" fontId="0" fillId="0" borderId="0" xfId="0" applyNumberFormat="1" applyAlignment="1">
      <alignment horizontal="left" wrapText="1"/>
    </xf>
    <xf numFmtId="45" fontId="0" fillId="0" borderId="0" xfId="0" applyNumberFormat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32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164" formatCode="m/d/yy\ h:mm:ss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28" formatCode="mm:ss"/>
      <alignment horizontal="center" vertical="center" textRotation="0" wrapText="1" indent="0" justifyLastLine="0" shrinkToFit="0" readingOrder="0"/>
    </dxf>
    <dxf>
      <numFmt numFmtId="164" formatCode="m/d/yy\ h:mm:ss"/>
      <alignment horizontal="center" vertical="bottom" textRotation="0" wrapText="1" indent="0" justifyLastLine="0" shrinkToFit="0" readingOrder="0"/>
    </dxf>
    <dxf>
      <numFmt numFmtId="165" formatCode="mm/dd/yyyy\ hh:mm:ss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164" formatCode="m/d/yy\ h:mm:ss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28" formatCode="mm:ss"/>
      <alignment horizontal="center" vertical="center" textRotation="0" wrapText="1" indent="0" justifyLastLine="0" shrinkToFit="0" readingOrder="0"/>
    </dxf>
    <dxf>
      <numFmt numFmtId="164" formatCode="m/d/yy\ h:mm:ss"/>
      <alignment horizontal="center" vertical="bottom" textRotation="0" wrapText="1" indent="0" justifyLastLine="0" shrinkToFit="0" readingOrder="0"/>
    </dxf>
    <dxf>
      <numFmt numFmtId="165" formatCode="mm/dd/yyyy\ hh:mm:ss"/>
      <alignment horizontal="general" vertical="bottom" textRotation="0" wrapText="1" indent="0" justifyLastLine="0" shrinkToFit="0" readingOrder="0"/>
    </dxf>
    <dxf>
      <numFmt numFmtId="0" formatCode="General"/>
      <alignment horizontal="center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[How did we do_  La Mesa (1-6).xlsx]Grapht!PivotTable1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3718642976319409E-2"/>
          <c:y val="0.1940233661268532"/>
          <c:w val="0.77497227344723174"/>
          <c:h val="0.517447521440772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Grapht!$B$4</c:f>
              <c:strCache>
                <c:ptCount val="1"/>
                <c:pt idx="0">
                  <c:v>Sum of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Grapht!$A$5:$A$19</c:f>
              <c:multiLvlStrCache>
                <c:ptCount val="6"/>
                <c:lvl>
                  <c:pt idx="0">
                    <c:v>A loyalty number at checkout</c:v>
                  </c:pt>
                  <c:pt idx="1">
                    <c:v>A loyalty number at checkout</c:v>
                  </c:pt>
                  <c:pt idx="2">
                    <c:v>A mobile app</c:v>
                  </c:pt>
                  <c:pt idx="3">
                    <c:v>A mobile app</c:v>
                  </c:pt>
                  <c:pt idx="4">
                    <c:v>A mobile app</c:v>
                  </c:pt>
                  <c:pt idx="5">
                    <c:v>A mobile app</c:v>
                  </c:pt>
                </c:lvl>
                <c:lvl>
                  <c:pt idx="0">
                    <c:v>10-20 minutes</c:v>
                  </c:pt>
                  <c:pt idx="1">
                    <c:v>10-20 minutes</c:v>
                  </c:pt>
                  <c:pt idx="3">
                    <c:v>Over 30 minutes</c:v>
                  </c:pt>
                  <c:pt idx="4">
                    <c:v>Under 10 minutes</c:v>
                  </c:pt>
                  <c:pt idx="5">
                    <c:v>Under 10 minutes</c:v>
                  </c:pt>
                </c:lvl>
                <c:lvl>
                  <c:pt idx="0">
                    <c:v>A few times a month</c:v>
                  </c:pt>
                  <c:pt idx="1">
                    <c:v>Once or twice so far</c:v>
                  </c:pt>
                  <c:pt idx="5">
                    <c:v>This is my first time</c:v>
                  </c:pt>
                </c:lvl>
              </c:multiLvlStrCache>
            </c:multiLvlStrRef>
          </c:cat>
          <c:val>
            <c:numRef>
              <c:f>Grapht!$B$5:$B$19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A4-4108-8040-DAEA168C31AF}"/>
            </c:ext>
          </c:extLst>
        </c:ser>
        <c:ser>
          <c:idx val="1"/>
          <c:order val="1"/>
          <c:tx>
            <c:strRef>
              <c:f>Grapht!$C$4</c:f>
              <c:strCache>
                <c:ptCount val="1"/>
                <c:pt idx="0">
                  <c:v>Sum of How likely are you to visit us again?
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Grapht!$A$5:$A$19</c:f>
              <c:multiLvlStrCache>
                <c:ptCount val="6"/>
                <c:lvl>
                  <c:pt idx="0">
                    <c:v>A loyalty number at checkout</c:v>
                  </c:pt>
                  <c:pt idx="1">
                    <c:v>A loyalty number at checkout</c:v>
                  </c:pt>
                  <c:pt idx="2">
                    <c:v>A mobile app</c:v>
                  </c:pt>
                  <c:pt idx="3">
                    <c:v>A mobile app</c:v>
                  </c:pt>
                  <c:pt idx="4">
                    <c:v>A mobile app</c:v>
                  </c:pt>
                  <c:pt idx="5">
                    <c:v>A mobile app</c:v>
                  </c:pt>
                </c:lvl>
                <c:lvl>
                  <c:pt idx="0">
                    <c:v>10-20 minutes</c:v>
                  </c:pt>
                  <c:pt idx="1">
                    <c:v>10-20 minutes</c:v>
                  </c:pt>
                  <c:pt idx="3">
                    <c:v>Over 30 minutes</c:v>
                  </c:pt>
                  <c:pt idx="4">
                    <c:v>Under 10 minutes</c:v>
                  </c:pt>
                  <c:pt idx="5">
                    <c:v>Under 10 minutes</c:v>
                  </c:pt>
                </c:lvl>
                <c:lvl>
                  <c:pt idx="0">
                    <c:v>A few times a month</c:v>
                  </c:pt>
                  <c:pt idx="1">
                    <c:v>Once or twice so far</c:v>
                  </c:pt>
                  <c:pt idx="5">
                    <c:v>This is my first time</c:v>
                  </c:pt>
                </c:lvl>
              </c:multiLvlStrCache>
            </c:multiLvlStrRef>
          </c:cat>
          <c:val>
            <c:numRef>
              <c:f>Grapht!$C$5:$C$19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9</c:v>
                </c:pt>
                <c:pt idx="3">
                  <c:v>3</c:v>
                </c:pt>
                <c:pt idx="4">
                  <c:v>8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A4-4108-8040-DAEA168C3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2081599"/>
        <c:axId val="1597407039"/>
      </c:barChart>
      <c:catAx>
        <c:axId val="195208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07039"/>
        <c:crosses val="autoZero"/>
        <c:auto val="1"/>
        <c:lblAlgn val="ctr"/>
        <c:lblOffset val="100"/>
        <c:noMultiLvlLbl val="0"/>
      </c:catAx>
      <c:valAx>
        <c:axId val="159740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081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15240</xdr:rowOff>
    </xdr:from>
    <xdr:to>
      <xdr:col>5</xdr:col>
      <xdr:colOff>533400</xdr:colOff>
      <xdr:row>38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8A6150-9601-343C-6ED5-1B8FE7E2D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25.516952893522" createdVersion="8" refreshedVersion="8" minRefreshableVersion="3" recordCount="6" xr:uid="{E4291998-D4A5-4C0F-81FB-05796B954221}">
  <cacheSource type="worksheet">
    <worksheetSource name="Table1"/>
  </cacheSource>
  <cacheFields count="15">
    <cacheField name="ID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Start time" numFmtId="165">
      <sharedItems containsSemiMixedTypes="0" containsNonDate="0" containsDate="1" containsString="0" minDate="2026-04-10T01:04:12" maxDate="2026-04-10T13:46:45"/>
    </cacheField>
    <cacheField name="Completion time" numFmtId="0">
      <sharedItems containsSemiMixedTypes="0" containsString="0" containsNumber="1" minValue="46122.056770833296" maxValue="46122.574814814798"/>
    </cacheField>
    <cacheField name="Time to complete" numFmtId="45">
      <sharedItems containsSemiMixedTypes="0" containsNonDate="0" containsDate="1" containsString="0" minDate="1899-12-30T00:00:20" maxDate="1899-12-30T00:17:33"/>
    </cacheField>
    <cacheField name="Email" numFmtId="0">
      <sharedItems/>
    </cacheField>
    <cacheField name="Name" numFmtId="0">
      <sharedItems/>
    </cacheField>
    <cacheField name="Last modified time" numFmtId="164">
      <sharedItems containsNonDate="0" containsString="0" containsBlank="1"/>
    </cacheField>
    <cacheField name="How would you rate your overall experience today?_x000a_" numFmtId="0">
      <sharedItems containsString="0" containsBlank="1" containsNumber="1" containsInteger="1" minValue="2" maxValue="5"/>
    </cacheField>
    <cacheField name="How long did it take for your food to arrive after ordering?_x000a_" numFmtId="0">
      <sharedItems count="3">
        <s v="Under 10 minutes"/>
        <s v="10-20 minutes"/>
        <s v="Over 30 minutes"/>
      </sharedItems>
    </cacheField>
    <cacheField name="What stood out most about your visit today?_x000a_" numFmtId="0">
      <sharedItems count="6">
        <s v="Friendly service;"/>
        <s v="Food quality &amp; flavor;Friendly service;Cleanliness;"/>
        <s v="Food quality &amp; flavor;Friendly service;Speed of service;"/>
        <s v="Food quality &amp; flavor;Restaurant atmosphere / vibe;"/>
        <s v="Food quality &amp; flavor;Friendly service;Restaurant atmosphere / vibe;Cleanliness;"/>
        <s v="Food quality &amp; flavor;Friendly service;Restaurant atmosphere / vibe;Cleanliness;Speed of service;"/>
      </sharedItems>
    </cacheField>
    <cacheField name="How often do you visit La Mesa Alegre?_x000a_" numFmtId="0">
      <sharedItems count="3">
        <s v="This is my first time"/>
        <s v="Once or twice so far"/>
        <s v="A few times a month"/>
      </sharedItems>
    </cacheField>
    <cacheField name="What kind of rewards would make you more likely to come back regularly?" numFmtId="0">
      <sharedItems count="4">
        <s v="Birthday reward;Free item after a set number of visits;"/>
        <s v="Birthday reward;"/>
        <s v="Free item after a set number of visits;Discount on a future order;"/>
        <s v="Free item after a set number of visits;"/>
      </sharedItems>
    </cacheField>
    <cacheField name="How would you prefer to track your rewards?_x000a_" numFmtId="0">
      <sharedItems count="2">
        <s v="A mobile app"/>
        <s v="A loyalty number at checkout"/>
      </sharedItems>
    </cacheField>
    <cacheField name="How likely are you to visit us again?_x000a_" numFmtId="0">
      <sharedItems containsSemiMixedTypes="0" containsString="0" containsNumber="1" containsInteger="1" minValue="3" maxValue="10" count="5">
        <n v="10"/>
        <n v="8"/>
        <n v="7"/>
        <n v="3"/>
        <n v="9"/>
      </sharedItems>
    </cacheField>
    <cacheField name="Is there anything else you'd like us to know something you loved, something we could improve, or any suggestions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6-04-10T01:04:12"/>
    <n v="46122.056770833296"/>
    <d v="1899-12-30T00:17:33"/>
    <s v="nmiranda@my.yearupunited.org"/>
    <s v="natalia miranda"/>
    <m/>
    <n v="5"/>
    <x v="0"/>
    <x v="0"/>
    <x v="0"/>
    <x v="0"/>
    <x v="0"/>
    <x v="0"/>
    <m/>
  </r>
  <r>
    <x v="1"/>
    <d v="2026-04-10T09:57:17"/>
    <n v="46122.415011574099"/>
    <d v="1899-12-30T00:00:20"/>
    <s v="dsanchez1@my.yearupunited.org"/>
    <s v="dahlia sanchez"/>
    <m/>
    <n v="5"/>
    <x v="0"/>
    <x v="1"/>
    <x v="1"/>
    <x v="1"/>
    <x v="0"/>
    <x v="1"/>
    <m/>
  </r>
  <r>
    <x v="2"/>
    <d v="2026-04-10T10:47:57"/>
    <n v="46122.4528587963"/>
    <d v="1899-12-30T00:04:10"/>
    <s v="jgoode@my.yearupunited.org"/>
    <s v="jeremiah goode"/>
    <m/>
    <n v="5"/>
    <x v="1"/>
    <x v="2"/>
    <x v="2"/>
    <x v="2"/>
    <x v="1"/>
    <x v="2"/>
    <s v="I love coming here with family. The service is fast and friendly, and the restaurant is super clean. I would say maybe add a little more deals because the menu can be very expensive at times."/>
  </r>
  <r>
    <x v="3"/>
    <d v="2026-04-10T11:10:53"/>
    <n v="46122.467777777798"/>
    <d v="1899-12-30T00:02:43"/>
    <s v="dlomeli@my.yearupunited.org"/>
    <s v="destiney lomeli"/>
    <m/>
    <n v="2"/>
    <x v="2"/>
    <x v="3"/>
    <x v="1"/>
    <x v="0"/>
    <x v="0"/>
    <x v="3"/>
    <s v="My food took longer than an hour to arrive and when I'd ask for updates I'd get ignored! Please improve your customer service."/>
  </r>
  <r>
    <x v="4"/>
    <d v="2026-04-10T11:54:45"/>
    <n v="46122.497002314798"/>
    <d v="1899-12-30T00:00:56"/>
    <s v="BHambleton@YearUp.org"/>
    <s v="Bess Hambleton"/>
    <m/>
    <m/>
    <x v="1"/>
    <x v="4"/>
    <x v="1"/>
    <x v="3"/>
    <x v="1"/>
    <x v="0"/>
    <s v="more cushy seats"/>
  </r>
  <r>
    <x v="5"/>
    <d v="2026-04-10T13:46:45"/>
    <n v="46122.574814814798"/>
    <d v="1899-12-30T00:00:59"/>
    <s v="bcarrillo-valencia@my.yearupunited.org"/>
    <s v="brandon carrillo-valencia"/>
    <m/>
    <n v="5"/>
    <x v="1"/>
    <x v="5"/>
    <x v="1"/>
    <x v="2"/>
    <x v="0"/>
    <x v="4"/>
    <s v="Very good servic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D429DF-E675-47D0-8CAB-11D1C339ED87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C19" firstHeaderRow="0" firstDataRow="1" firstDataCol="1" rowPageCount="1" colPageCount="1"/>
  <pivotFields count="15">
    <pivotField dataField="1" showAll="0">
      <items count="7">
        <item x="0"/>
        <item x="1"/>
        <item x="2"/>
        <item x="3"/>
        <item x="4"/>
        <item x="5"/>
        <item t="default"/>
      </items>
    </pivotField>
    <pivotField numFmtId="165" showAll="0"/>
    <pivotField showAll="0"/>
    <pivotField numFmtId="45"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>
      <items count="7">
        <item x="1"/>
        <item x="4"/>
        <item x="5"/>
        <item x="2"/>
        <item x="3"/>
        <item x="0"/>
        <item t="default"/>
      </items>
    </pivotField>
    <pivotField axis="axisRow" showAll="0">
      <items count="4">
        <item x="2"/>
        <item x="1"/>
        <item x="0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Row" showAll="0">
      <items count="3">
        <item x="1"/>
        <item x="0"/>
        <item t="default"/>
      </items>
    </pivotField>
    <pivotField dataField="1" showAll="0">
      <items count="6">
        <item x="3"/>
        <item x="2"/>
        <item x="1"/>
        <item x="4"/>
        <item x="0"/>
        <item t="default"/>
      </items>
    </pivotField>
    <pivotField showAll="0"/>
  </pivotFields>
  <rowFields count="3">
    <field x="10"/>
    <field x="8"/>
    <field x="12"/>
  </rowFields>
  <rowItems count="15">
    <i>
      <x/>
    </i>
    <i r="1">
      <x/>
    </i>
    <i r="2">
      <x/>
    </i>
    <i>
      <x v="1"/>
    </i>
    <i r="1">
      <x/>
    </i>
    <i r="2">
      <x/>
    </i>
    <i r="2">
      <x v="1"/>
    </i>
    <i r="1">
      <x v="1"/>
    </i>
    <i r="2">
      <x v="1"/>
    </i>
    <i r="1">
      <x v="2"/>
    </i>
    <i r="2">
      <x v="1"/>
    </i>
    <i>
      <x v="2"/>
    </i>
    <i r="1">
      <x v="2"/>
    </i>
    <i r="2">
      <x v="1"/>
    </i>
    <i t="grand">
      <x/>
    </i>
  </rowItems>
  <colFields count="1">
    <field x="-2"/>
  </colFields>
  <colItems count="2">
    <i>
      <x/>
    </i>
    <i i="1">
      <x v="1"/>
    </i>
  </colItems>
  <pageFields count="1">
    <pageField fld="11" hier="-1"/>
  </pageFields>
  <dataFields count="2">
    <dataField name="Sum of ID" fld="0" baseField="0" baseItem="0"/>
    <dataField name="Sum of How likely are you to visit us again?_x000a_" fld="13" baseField="0" baseItem="0"/>
  </dataFields>
  <chartFormats count="6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8" totalsRowCount="1" headerRowDxfId="30" dataDxfId="31">
  <autoFilter ref="A1:O7" xr:uid="{00000000-000C-0000-FFFF-FFFF00000000}"/>
  <tableColumns count="15">
    <tableColumn id="1" xr3:uid="{00000000-0010-0000-0000-000001000000}" name="ID" dataDxfId="29" totalsRowDxfId="14"/>
    <tableColumn id="2" xr3:uid="{00000000-0010-0000-0000-000002000000}" name="Start time" dataDxfId="28" totalsRowDxfId="13"/>
    <tableColumn id="3" xr3:uid="{00000000-0010-0000-0000-000003000000}" name="Completion time" dataDxfId="27" totalsRowDxfId="12"/>
    <tableColumn id="15" xr3:uid="{718CF1A5-A920-4B79-9363-494CD09553A3}" name="Time to complete" totalsRowFunction="custom" dataDxfId="26" totalsRowDxfId="11">
      <calculatedColumnFormula>C2-B2</calculatedColumnFormula>
      <totalsRowFormula>AVERAGE(Table1[Time to complete])</totalsRowFormula>
    </tableColumn>
    <tableColumn id="4" xr3:uid="{00000000-0010-0000-0000-000004000000}" name="Email" dataDxfId="25" totalsRowDxfId="10"/>
    <tableColumn id="5" xr3:uid="{00000000-0010-0000-0000-000005000000}" name="Name" dataDxfId="24" totalsRowDxfId="9"/>
    <tableColumn id="6" xr3:uid="{00000000-0010-0000-0000-000006000000}" name="Last modified time" dataDxfId="23" totalsRowDxfId="8"/>
    <tableColumn id="7" xr3:uid="{00000000-0010-0000-0000-000007000000}" name="How would you rate your overall experience today?_x000a_" totalsRowFunction="custom" dataDxfId="22" totalsRowDxfId="7">
      <totalsRowFormula>AVERAGE(H2:H7)</totalsRowFormula>
    </tableColumn>
    <tableColumn id="8" xr3:uid="{00000000-0010-0000-0000-000008000000}" name="How long did it take for your food to arrive after ordering?_x000a_" totalsRowFunction="custom" dataDxfId="21" totalsRowDxfId="6">
      <totalsRowFormula>COUNTIF(I2:I7, "Under 10 minutes")</totalsRowFormula>
    </tableColumn>
    <tableColumn id="9" xr3:uid="{00000000-0010-0000-0000-000009000000}" name="What stood out most about your visit today?_x000a_" dataDxfId="20" totalsRowDxfId="5"/>
    <tableColumn id="10" xr3:uid="{00000000-0010-0000-0000-00000A000000}" name="How often do you visit La Mesa Alegre?_x000a_" totalsRowFunction="custom" dataDxfId="19" totalsRowDxfId="4">
      <totalsRowFormula>COUNTIF(K2:K7, "Once or twice so far")</totalsRowFormula>
    </tableColumn>
    <tableColumn id="11" xr3:uid="{00000000-0010-0000-0000-00000B000000}" name="What kind of rewards would make you more likely to come back regularly?" dataDxfId="18" totalsRowDxfId="3"/>
    <tableColumn id="12" xr3:uid="{00000000-0010-0000-0000-00000C000000}" name="How would you prefer to track your rewards?_x000a_" totalsRowFunction="custom" dataDxfId="15" totalsRowDxfId="2">
      <totalsRowFormula>SUM(COUNTIF(Table1[How would you prefer to track your rewards?
], "A mobile app"), COUNTIF(Table1[How would you prefer to track your rewards?
], "A loyalty number at checkout"))</totalsRowFormula>
    </tableColumn>
    <tableColumn id="13" xr3:uid="{00000000-0010-0000-0000-00000D000000}" name="How likely are you to visit us again?_x000a_" dataDxfId="17" totalsRowDxfId="1"/>
    <tableColumn id="14" xr3:uid="{00000000-0010-0000-0000-00000E000000}" name="Is there anything else you'd like us to know something you loved, something we could improve, or any suggestions?" dataDxfId="16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"/>
  <sheetViews>
    <sheetView tabSelected="1" topLeftCell="I1" workbookViewId="0">
      <selection activeCell="M8" sqref="M8"/>
    </sheetView>
  </sheetViews>
  <sheetFormatPr defaultColWidth="27.6640625" defaultRowHeight="67.8" customHeight="1" x14ac:dyDescent="0.3"/>
  <cols>
    <col min="2" max="2" width="27.6640625" style="2"/>
    <col min="3" max="3" width="27.6640625" style="7"/>
    <col min="4" max="4" width="27.6640625" style="8"/>
    <col min="8" max="8" width="27.6640625" style="13"/>
    <col min="10" max="10" width="27.6640625" style="1"/>
    <col min="14" max="14" width="27.6640625" style="7"/>
  </cols>
  <sheetData>
    <row r="1" spans="1:15" s="15" customFormat="1" ht="67.8" customHeight="1" x14ac:dyDescent="0.3">
      <c r="A1" s="15" t="s">
        <v>0</v>
      </c>
      <c r="B1" s="16" t="s">
        <v>1</v>
      </c>
      <c r="C1" s="15" t="s">
        <v>2</v>
      </c>
      <c r="D1" s="17" t="s">
        <v>48</v>
      </c>
      <c r="E1" s="15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6" t="s">
        <v>12</v>
      </c>
      <c r="O1" s="15" t="s">
        <v>13</v>
      </c>
    </row>
    <row r="2" spans="1:15" s="1" customFormat="1" ht="67.8" customHeight="1" x14ac:dyDescent="0.3">
      <c r="A2" s="6">
        <v>1</v>
      </c>
      <c r="B2" s="3">
        <v>46122.0445833333</v>
      </c>
      <c r="C2" s="6">
        <v>46122.056770833296</v>
      </c>
      <c r="D2" s="9">
        <f>C2-B2</f>
        <v>1.2187499996798579E-2</v>
      </c>
      <c r="E2" s="1" t="s">
        <v>14</v>
      </c>
      <c r="F2" s="1" t="s">
        <v>15</v>
      </c>
      <c r="G2" s="4"/>
      <c r="H2" s="14">
        <v>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6">
        <v>10</v>
      </c>
    </row>
    <row r="3" spans="1:15" s="1" customFormat="1" ht="67.8" customHeight="1" x14ac:dyDescent="0.3">
      <c r="A3" s="6">
        <v>2</v>
      </c>
      <c r="B3" s="3">
        <v>46122.4147800926</v>
      </c>
      <c r="C3" s="6">
        <v>46122.415011574099</v>
      </c>
      <c r="D3" s="9">
        <f>C3-B3</f>
        <v>2.3148149921325967E-4</v>
      </c>
      <c r="E3" s="1" t="s">
        <v>21</v>
      </c>
      <c r="F3" s="1" t="s">
        <v>22</v>
      </c>
      <c r="G3" s="4"/>
      <c r="H3" s="14">
        <v>5</v>
      </c>
      <c r="I3" s="1" t="s">
        <v>16</v>
      </c>
      <c r="J3" s="1" t="s">
        <v>23</v>
      </c>
      <c r="K3" s="1" t="s">
        <v>24</v>
      </c>
      <c r="L3" s="1" t="s">
        <v>25</v>
      </c>
      <c r="M3" s="1" t="s">
        <v>20</v>
      </c>
      <c r="N3" s="6">
        <v>8</v>
      </c>
    </row>
    <row r="4" spans="1:15" s="1" customFormat="1" ht="67.8" customHeight="1" x14ac:dyDescent="0.3">
      <c r="A4" s="6">
        <v>3</v>
      </c>
      <c r="B4" s="3">
        <v>46122.449965277803</v>
      </c>
      <c r="C4" s="6">
        <v>46122.4528587963</v>
      </c>
      <c r="D4" s="9">
        <f>C4-B4</f>
        <v>2.8935184964211658E-3</v>
      </c>
      <c r="E4" s="1" t="s">
        <v>26</v>
      </c>
      <c r="F4" s="1" t="s">
        <v>27</v>
      </c>
      <c r="G4" s="4"/>
      <c r="H4" s="14">
        <v>5</v>
      </c>
      <c r="I4" s="1" t="s">
        <v>28</v>
      </c>
      <c r="J4" s="1" t="s">
        <v>29</v>
      </c>
      <c r="K4" s="1" t="s">
        <v>30</v>
      </c>
      <c r="L4" s="1" t="s">
        <v>31</v>
      </c>
      <c r="M4" s="1" t="s">
        <v>32</v>
      </c>
      <c r="N4" s="6">
        <v>7</v>
      </c>
      <c r="O4" s="5" t="s">
        <v>33</v>
      </c>
    </row>
    <row r="5" spans="1:15" s="1" customFormat="1" ht="67.8" customHeight="1" x14ac:dyDescent="0.3">
      <c r="A5" s="6">
        <v>4</v>
      </c>
      <c r="B5" s="3">
        <v>46122.465891203698</v>
      </c>
      <c r="C5" s="6">
        <v>46122.467777777798</v>
      </c>
      <c r="D5" s="9">
        <f>C5-B5</f>
        <v>1.8865741003537551E-3</v>
      </c>
      <c r="E5" s="1" t="s">
        <v>34</v>
      </c>
      <c r="F5" s="1" t="s">
        <v>35</v>
      </c>
      <c r="G5" s="4"/>
      <c r="H5" s="14">
        <v>2</v>
      </c>
      <c r="I5" s="1" t="s">
        <v>36</v>
      </c>
      <c r="J5" s="1" t="s">
        <v>37</v>
      </c>
      <c r="K5" s="1" t="s">
        <v>24</v>
      </c>
      <c r="L5" s="1" t="s">
        <v>19</v>
      </c>
      <c r="M5" s="1" t="s">
        <v>20</v>
      </c>
      <c r="N5" s="6">
        <v>3</v>
      </c>
      <c r="O5" s="1" t="s">
        <v>38</v>
      </c>
    </row>
    <row r="6" spans="1:15" s="1" customFormat="1" ht="67.8" customHeight="1" x14ac:dyDescent="0.3">
      <c r="A6" s="6">
        <v>5</v>
      </c>
      <c r="B6" s="3">
        <v>46122.496354166702</v>
      </c>
      <c r="C6" s="6">
        <v>46122.497002314798</v>
      </c>
      <c r="D6" s="9">
        <f>C6-B6</f>
        <v>6.4814809593372047E-4</v>
      </c>
      <c r="E6" s="1" t="s">
        <v>39</v>
      </c>
      <c r="F6" s="1" t="s">
        <v>40</v>
      </c>
      <c r="G6" s="4"/>
      <c r="H6" s="14"/>
      <c r="I6" s="1" t="s">
        <v>28</v>
      </c>
      <c r="J6" s="1" t="s">
        <v>41</v>
      </c>
      <c r="K6" s="1" t="s">
        <v>24</v>
      </c>
      <c r="L6" s="1" t="s">
        <v>42</v>
      </c>
      <c r="M6" s="1" t="s">
        <v>32</v>
      </c>
      <c r="N6" s="6">
        <v>10</v>
      </c>
      <c r="O6" s="1" t="s">
        <v>43</v>
      </c>
    </row>
    <row r="7" spans="1:15" s="1" customFormat="1" ht="67.8" customHeight="1" x14ac:dyDescent="0.3">
      <c r="A7" s="6">
        <v>6</v>
      </c>
      <c r="B7" s="3">
        <v>46122.574131944399</v>
      </c>
      <c r="C7" s="6">
        <v>46122.574814814798</v>
      </c>
      <c r="D7" s="9">
        <f>C7-B7</f>
        <v>6.8287039903225377E-4</v>
      </c>
      <c r="E7" s="1" t="s">
        <v>44</v>
      </c>
      <c r="F7" s="1" t="s">
        <v>45</v>
      </c>
      <c r="G7" s="4"/>
      <c r="H7" s="14">
        <v>5</v>
      </c>
      <c r="I7" s="1" t="s">
        <v>28</v>
      </c>
      <c r="J7" s="1" t="s">
        <v>46</v>
      </c>
      <c r="K7" s="1" t="s">
        <v>24</v>
      </c>
      <c r="L7" s="1" t="s">
        <v>31</v>
      </c>
      <c r="M7" s="1" t="s">
        <v>20</v>
      </c>
      <c r="N7" s="6">
        <v>9</v>
      </c>
      <c r="O7" s="1" t="s">
        <v>47</v>
      </c>
    </row>
    <row r="8" spans="1:15" ht="67.8" customHeight="1" x14ac:dyDescent="0.3">
      <c r="A8" s="10"/>
      <c r="B8" s="3"/>
      <c r="C8" s="11"/>
      <c r="D8" s="9">
        <f>AVERAGE(Table1[Time to complete])</f>
        <v>3.0883487646254557E-3</v>
      </c>
      <c r="E8" s="12"/>
      <c r="F8" s="12"/>
      <c r="G8" s="4"/>
      <c r="H8" s="10">
        <f>AVERAGE(H2:H7)</f>
        <v>4.4000000000000004</v>
      </c>
      <c r="I8" s="10">
        <f>COUNTIF(I2:I7, "Under 10 minutes")</f>
        <v>2</v>
      </c>
      <c r="J8" s="12"/>
      <c r="K8" s="10">
        <f>COUNTIF(K2:K7, "Once or twice so far")</f>
        <v>4</v>
      </c>
      <c r="L8" s="12"/>
      <c r="M8" s="10">
        <f>SUM(COUNTIF(Table1[How would you prefer to track your rewards?
], "A mobile app"), COUNTIF(Table1[How would you prefer to track your rewards?
], "A loyalty number at checkout"))</f>
        <v>6</v>
      </c>
      <c r="N8" s="10"/>
      <c r="O8" s="1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76287-99C7-47DA-A3F0-22CA60CE7865}">
  <dimension ref="A2:C19"/>
  <sheetViews>
    <sheetView topLeftCell="A20" workbookViewId="0">
      <selection activeCell="C43" sqref="C43"/>
    </sheetView>
  </sheetViews>
  <sheetFormatPr defaultRowHeight="14.4" x14ac:dyDescent="0.3"/>
  <cols>
    <col min="1" max="1" width="62.77734375" bestFit="1" customWidth="1"/>
    <col min="2" max="2" width="9.21875" bestFit="1" customWidth="1"/>
    <col min="3" max="3" width="38.77734375" bestFit="1" customWidth="1"/>
    <col min="4" max="4" width="48.6640625" bestFit="1" customWidth="1"/>
    <col min="5" max="5" width="12.109375" bestFit="1" customWidth="1"/>
    <col min="6" max="6" width="14" bestFit="1" customWidth="1"/>
    <col min="7" max="7" width="43.5546875" bestFit="1" customWidth="1"/>
    <col min="8" max="8" width="14" bestFit="1" customWidth="1"/>
    <col min="9" max="9" width="43.5546875" bestFit="1" customWidth="1"/>
  </cols>
  <sheetData>
    <row r="2" spans="1:3" x14ac:dyDescent="0.3">
      <c r="A2" s="20" t="s">
        <v>10</v>
      </c>
      <c r="B2" t="s">
        <v>53</v>
      </c>
    </row>
    <row r="4" spans="1:3" x14ac:dyDescent="0.3">
      <c r="A4" s="20" t="s">
        <v>49</v>
      </c>
      <c r="B4" t="s">
        <v>51</v>
      </c>
      <c r="C4" t="s">
        <v>52</v>
      </c>
    </row>
    <row r="5" spans="1:3" x14ac:dyDescent="0.3">
      <c r="A5" s="18" t="s">
        <v>30</v>
      </c>
      <c r="B5" s="19">
        <v>3</v>
      </c>
      <c r="C5" s="19">
        <v>7</v>
      </c>
    </row>
    <row r="6" spans="1:3" x14ac:dyDescent="0.3">
      <c r="A6" s="21" t="s">
        <v>28</v>
      </c>
      <c r="B6" s="19">
        <v>3</v>
      </c>
      <c r="C6" s="19">
        <v>7</v>
      </c>
    </row>
    <row r="7" spans="1:3" x14ac:dyDescent="0.3">
      <c r="A7" s="22" t="s">
        <v>32</v>
      </c>
      <c r="B7" s="19">
        <v>3</v>
      </c>
      <c r="C7" s="19">
        <v>7</v>
      </c>
    </row>
    <row r="8" spans="1:3" x14ac:dyDescent="0.3">
      <c r="A8" s="18" t="s">
        <v>24</v>
      </c>
      <c r="B8" s="19">
        <v>17</v>
      </c>
      <c r="C8" s="19">
        <v>30</v>
      </c>
    </row>
    <row r="9" spans="1:3" x14ac:dyDescent="0.3">
      <c r="A9" s="21" t="s">
        <v>28</v>
      </c>
      <c r="B9" s="19">
        <v>11</v>
      </c>
      <c r="C9" s="19">
        <v>19</v>
      </c>
    </row>
    <row r="10" spans="1:3" x14ac:dyDescent="0.3">
      <c r="A10" s="22" t="s">
        <v>32</v>
      </c>
      <c r="B10" s="19">
        <v>5</v>
      </c>
      <c r="C10" s="19">
        <v>10</v>
      </c>
    </row>
    <row r="11" spans="1:3" x14ac:dyDescent="0.3">
      <c r="A11" s="22" t="s">
        <v>20</v>
      </c>
      <c r="B11" s="19">
        <v>6</v>
      </c>
      <c r="C11" s="19">
        <v>9</v>
      </c>
    </row>
    <row r="12" spans="1:3" x14ac:dyDescent="0.3">
      <c r="A12" s="21" t="s">
        <v>36</v>
      </c>
      <c r="B12" s="19">
        <v>4</v>
      </c>
      <c r="C12" s="19">
        <v>3</v>
      </c>
    </row>
    <row r="13" spans="1:3" x14ac:dyDescent="0.3">
      <c r="A13" s="22" t="s">
        <v>20</v>
      </c>
      <c r="B13" s="19">
        <v>4</v>
      </c>
      <c r="C13" s="19">
        <v>3</v>
      </c>
    </row>
    <row r="14" spans="1:3" x14ac:dyDescent="0.3">
      <c r="A14" s="21" t="s">
        <v>16</v>
      </c>
      <c r="B14" s="19">
        <v>2</v>
      </c>
      <c r="C14" s="19">
        <v>8</v>
      </c>
    </row>
    <row r="15" spans="1:3" x14ac:dyDescent="0.3">
      <c r="A15" s="22" t="s">
        <v>20</v>
      </c>
      <c r="B15" s="19">
        <v>2</v>
      </c>
      <c r="C15" s="19">
        <v>8</v>
      </c>
    </row>
    <row r="16" spans="1:3" x14ac:dyDescent="0.3">
      <c r="A16" s="18" t="s">
        <v>18</v>
      </c>
      <c r="B16" s="19">
        <v>1</v>
      </c>
      <c r="C16" s="19">
        <v>10</v>
      </c>
    </row>
    <row r="17" spans="1:3" x14ac:dyDescent="0.3">
      <c r="A17" s="21" t="s">
        <v>16</v>
      </c>
      <c r="B17" s="19">
        <v>1</v>
      </c>
      <c r="C17" s="19">
        <v>10</v>
      </c>
    </row>
    <row r="18" spans="1:3" x14ac:dyDescent="0.3">
      <c r="A18" s="22" t="s">
        <v>20</v>
      </c>
      <c r="B18" s="19">
        <v>1</v>
      </c>
      <c r="C18" s="19">
        <v>10</v>
      </c>
    </row>
    <row r="19" spans="1:3" x14ac:dyDescent="0.3">
      <c r="A19" s="18" t="s">
        <v>50</v>
      </c>
      <c r="B19" s="19">
        <v>21</v>
      </c>
      <c r="C19" s="19">
        <v>47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La_Mesa_Survey</vt:lpstr>
      <vt:lpstr>Grapht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sthefanie ramirez</cp:lastModifiedBy>
  <dcterms:created xsi:type="dcterms:W3CDTF">2026-04-13T06:49:12Z</dcterms:created>
  <dcterms:modified xsi:type="dcterms:W3CDTF">2026-04-13T19:51:02Z</dcterms:modified>
</cp:coreProperties>
</file>