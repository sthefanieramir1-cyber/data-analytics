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https://yearuptemp-my.sharepoint.com/personal/sramirez_my_yearupunited_org/Documents/"/>
    </mc:Choice>
  </mc:AlternateContent>
  <xr:revisionPtr revIDLastSave="0" documentId="8_{9463FB92-4ECA-413E-B06A-D06D10D9EE17}" xr6:coauthVersionLast="47" xr6:coauthVersionMax="47" xr10:uidLastSave="{00000000-0000-0000-0000-000000000000}"/>
  <bookViews>
    <workbookView xWindow="7944" yWindow="0" windowWidth="15192" windowHeight="12336" firstSheet="2" activeTab="2" xr2:uid="{FFC9F9BE-BA05-4A56-BC1B-0ECC51FCB96D}"/>
  </bookViews>
  <sheets>
    <sheet name="By search term" sheetId="1" r:id="rId1"/>
    <sheet name="By state" sheetId="3" r:id="rId2"/>
    <sheet name="Sales region lookup" sheetId="4" r:id="rId3"/>
  </sheets>
  <calcPr calcId="191028"/>
  <pivotCaches>
    <pivotCache cacheId="42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2" i="4"/>
  <c r="C3" i="4"/>
  <c r="C4" i="4"/>
  <c r="C5" i="4"/>
  <c r="C6" i="4"/>
  <c r="C7" i="4"/>
  <c r="C8" i="4"/>
  <c r="C9" i="4"/>
  <c r="C10" i="4"/>
  <c r="C11" i="4"/>
  <c r="C2" i="4"/>
  <c r="H1" i="1"/>
</calcChain>
</file>

<file path=xl/sharedStrings.xml><?xml version="1.0" encoding="utf-8"?>
<sst xmlns="http://schemas.openxmlformats.org/spreadsheetml/2006/main" count="154" uniqueCount="70">
  <si>
    <t>RegionID</t>
  </si>
  <si>
    <t>Region</t>
  </si>
  <si>
    <t>Hamburger:</t>
  </si>
  <si>
    <t>Milkshake:</t>
  </si>
  <si>
    <t>Broken heart:</t>
  </si>
  <si>
    <t># of regions</t>
  </si>
  <si>
    <t>Date range</t>
  </si>
  <si>
    <t>2/1/24 - 2/28/25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</si>
  <si>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</si>
  <si>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</si>
  <si>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</si>
  <si>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</si>
  <si>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</si>
  <si>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</si>
  <si>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</si>
  <si>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</si>
  <si>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</si>
  <si>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</si>
  <si>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</si>
  <si>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</si>
  <si>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</si>
  <si>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</si>
  <si>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</si>
  <si>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</si>
  <si>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</si>
  <si>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</si>
  <si>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</si>
  <si>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</si>
  <si>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</si>
  <si>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</si>
  <si>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</si>
  <si>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</si>
  <si>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</si>
  <si>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</si>
  <si>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</si>
  <si>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</si>
  <si>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</si>
  <si>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</si>
  <si>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</si>
  <si>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</si>
  <si>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</si>
  <si>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</si>
  <si>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</si>
  <si>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</si>
  <si>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</si>
  <si>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</si>
  <si>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</si>
  <si>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</si>
  <si>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</si>
  <si>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</si>
  <si>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</si>
  <si>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</si>
  <si>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</si>
  <si>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</si>
  <si>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</si>
  <si>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</si>
  <si>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</si>
  <si>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</si>
  <si>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</si>
  <si>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</t>
  </si>
  <si>
    <t>Sales Region</t>
  </si>
  <si>
    <t>Hamburger</t>
  </si>
  <si>
    <t>Milkshake</t>
  </si>
  <si>
    <t>Northwest</t>
  </si>
  <si>
    <t>North Central</t>
  </si>
  <si>
    <t>(All)</t>
  </si>
  <si>
    <t>Row Labels</t>
  </si>
  <si>
    <t>Sum of Hamburger</t>
  </si>
  <si>
    <t>Sum of Milkshake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</si>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</sst>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Courier New"/>
      <family val="3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16" fillId="0" borderId="0" xfId="0" applyFont="1"/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9" fontId="0" fillId="0" borderId="0" xfId="42" applyFont="1"/>
    <xf numFmtId="9" fontId="0" fillId="0" borderId="0" xfId="0" applyNumberFormat="1"/>
    <xf numFmtId="0" fontId="20" fillId="34" borderId="0" xfId="0" applyFont="1" applyFill="1"/>
    <xf numFmtId="0" fontId="18" fillId="33" borderId="0" xfId="0" applyFont="1" applyFill="1"/>
    <xf numFmtId="0" fontId="16" fillId="33" borderId="0" xfId="0" applyFont="1" applyFill="1"/>
    <xf numFmtId="9" fontId="19" fillId="0" borderId="0" xfId="42" applyFont="1"/>
    <xf numFmtId="0" fontId="0" fillId="0" borderId="0" xfId="0" pivotButton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0.76</c:v>
                </c:pt>
                <c:pt idx="1">
                  <c:v>0.74</c:v>
                </c:pt>
                <c:pt idx="2">
                  <c:v>0.77</c:v>
                </c:pt>
                <c:pt idx="3">
                  <c:v>0.83</c:v>
                </c:pt>
                <c:pt idx="4">
                  <c:v>0.78</c:v>
                </c:pt>
                <c:pt idx="5">
                  <c:v>0.78</c:v>
                </c:pt>
                <c:pt idx="6">
                  <c:v>0.76</c:v>
                </c:pt>
                <c:pt idx="7">
                  <c:v>0.83</c:v>
                </c:pt>
                <c:pt idx="8">
                  <c:v>0.77</c:v>
                </c:pt>
                <c:pt idx="9">
                  <c:v>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F-41B8-AB1D-5323C6ABE600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0.22</c:v>
                </c:pt>
                <c:pt idx="1">
                  <c:v>0.24</c:v>
                </c:pt>
                <c:pt idx="2">
                  <c:v>0.21</c:v>
                </c:pt>
                <c:pt idx="3">
                  <c:v>0.15</c:v>
                </c:pt>
                <c:pt idx="4">
                  <c:v>0.2</c:v>
                </c:pt>
                <c:pt idx="5">
                  <c:v>0.2</c:v>
                </c:pt>
                <c:pt idx="6">
                  <c:v>0.22</c:v>
                </c:pt>
                <c:pt idx="7">
                  <c:v>0.15</c:v>
                </c:pt>
                <c:pt idx="8">
                  <c:v>0.21</c:v>
                </c:pt>
                <c:pt idx="9">
                  <c:v>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7F-41B8-AB1D-5323C6ABE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9059552"/>
        <c:axId val="1379058592"/>
      </c:barChart>
      <c:catAx>
        <c:axId val="137905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058592"/>
        <c:crosses val="autoZero"/>
        <c:auto val="1"/>
        <c:lblAlgn val="ctr"/>
        <c:lblOffset val="100"/>
        <c:noMultiLvlLbl val="0"/>
      </c:catAx>
      <c:valAx>
        <c:axId val="137905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05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167640</xdr:colOff>
      <xdr:row>0</xdr:row>
      <xdr:rowOff>11430</xdr:rowOff>
    </xdr:from>
    <xdr:to>
      <xdr:col>9</xdr:col>
      <xdr:colOff>624840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F18E93-2E3C-A3D7-8A23-E24B3A9060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hef" refreshedDate="46124.939805208334" createdVersion="8" refreshedVersion="8" minRefreshableVersion="3" recordCount="10" xr:uid="{13A064D8-843F-4C7F-9B3F-9CF7F413C1A4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74" maxValue="0.83"/>
    </cacheField>
    <cacheField name="Milkshake" numFmtId="9">
      <sharedItems containsSemiMixedTypes="0" containsString="0" containsNumber="1" minValue="0.15" maxValue="0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77"/>
    <n v="0.21"/>
  </r>
  <r>
    <x v="1"/>
    <x v="0"/>
    <n v="0.76"/>
    <n v="0.22"/>
  </r>
  <r>
    <x v="2"/>
    <x v="0"/>
    <n v="0.76"/>
    <n v="0.22"/>
  </r>
  <r>
    <x v="3"/>
    <x v="0"/>
    <n v="0.83"/>
    <n v="0.15"/>
  </r>
  <r>
    <x v="4"/>
    <x v="1"/>
    <n v="0.78"/>
    <n v="0.2"/>
  </r>
  <r>
    <x v="5"/>
    <x v="1"/>
    <n v="0.83"/>
    <n v="0.15"/>
  </r>
  <r>
    <x v="6"/>
    <x v="1"/>
    <n v="0.78"/>
    <n v="0.2"/>
  </r>
  <r>
    <x v="7"/>
    <x v="1"/>
    <n v="0.77"/>
    <n v="0.21"/>
  </r>
  <r>
    <x v="8"/>
    <x v="1"/>
    <n v="0.76"/>
    <n v="0.22"/>
  </r>
  <r>
    <x v="9"/>
    <x v="1"/>
    <n v="0.74"/>
    <n v="0.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CA530-2DE0-4CE2-9F72-7C38563E5D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AD66-05C5-442C-9F9B-0B7DAA54B55C}">
  <dimension ref="A1:K125"/>
  <sheetViews>
    <sheetView zoomScaleNormal="100" workbookViewId="0">
      <pane ySplit="1" topLeftCell="A2" activePane="bottomLeft" state="frozen"/>
      <selection pane="bottomLeft" activeCell="A43" sqref="A43"/>
    </sheetView>
  </sheetViews>
  <sheetFormatPr defaultColWidth="19.28515625" defaultRowHeight="14.45"/>
  <cols>
    <col min="3" max="5" width="19.28515625" style="1"/>
  </cols>
  <sheetData>
    <row r="1" spans="1:1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9" t="s">
        <v>5</v>
      </c>
      <c r="H1" s="10">
        <f>COUNTA(B2:B52)</f>
        <v>51</v>
      </c>
      <c r="J1" s="8" t="s">
        <v>6</v>
      </c>
      <c r="K1" s="8" t="s">
        <v>7</v>
      </c>
    </row>
    <row r="2" spans="1:11">
      <c r="A2">
        <v>1</v>
      </c>
      <c r="B2" t="s">
        <v>8</v>
      </c>
      <c r="C2" s="7">
        <v>0.72</v>
      </c>
      <c r="D2" s="7">
        <v>0.26</v>
      </c>
      <c r="E2" s="7">
        <v>0.02</v>
      </c>
    </row>
    <row r="3" spans="1:11">
      <c r="A3">
        <v>2</v>
      </c>
      <c r="B3" t="s">
        <v>9</v>
      </c>
      <c r="C3" s="7">
        <v>0.81</v>
      </c>
      <c r="D3" s="7">
        <v>0.17</v>
      </c>
      <c r="E3" s="7">
        <v>0.02</v>
      </c>
    </row>
    <row r="4" spans="1:11">
      <c r="A4">
        <v>3</v>
      </c>
      <c r="B4" t="s">
        <v>10</v>
      </c>
      <c r="C4" s="7">
        <v>0.76</v>
      </c>
      <c r="D4" s="7">
        <v>0.22</v>
      </c>
      <c r="E4" s="7">
        <v>0.02</v>
      </c>
    </row>
    <row r="5" spans="1:11">
      <c r="A5">
        <v>4</v>
      </c>
      <c r="B5" t="s">
        <v>11</v>
      </c>
      <c r="C5" s="7">
        <v>0.73</v>
      </c>
      <c r="D5" s="7">
        <v>0.24</v>
      </c>
      <c r="E5" s="7">
        <v>0.03</v>
      </c>
    </row>
    <row r="6" spans="1:11">
      <c r="A6">
        <v>5</v>
      </c>
      <c r="B6" t="s">
        <v>12</v>
      </c>
      <c r="C6" s="7">
        <v>0.75</v>
      </c>
      <c r="D6" s="7">
        <v>0.22</v>
      </c>
      <c r="E6" s="7">
        <v>0.03</v>
      </c>
    </row>
    <row r="7" spans="1:11">
      <c r="A7">
        <v>6</v>
      </c>
      <c r="B7" t="s">
        <v>13</v>
      </c>
      <c r="C7" s="7">
        <v>0.78</v>
      </c>
      <c r="D7" s="7">
        <v>0.2</v>
      </c>
      <c r="E7" s="7">
        <v>0.02</v>
      </c>
    </row>
    <row r="8" spans="1:11">
      <c r="A8">
        <v>7</v>
      </c>
      <c r="B8" t="s">
        <v>14</v>
      </c>
      <c r="C8" s="7">
        <v>0.73</v>
      </c>
      <c r="D8" s="7">
        <v>0.25</v>
      </c>
      <c r="E8" s="7">
        <v>0.02</v>
      </c>
    </row>
    <row r="9" spans="1:11">
      <c r="A9">
        <v>8</v>
      </c>
      <c r="B9" t="s">
        <v>15</v>
      </c>
      <c r="C9" s="7">
        <v>0.7</v>
      </c>
      <c r="D9" s="7">
        <v>0.27</v>
      </c>
      <c r="E9" s="7">
        <v>0.03</v>
      </c>
    </row>
    <row r="10" spans="1:11">
      <c r="A10">
        <v>9</v>
      </c>
      <c r="B10" t="s">
        <v>16</v>
      </c>
      <c r="C10" s="7">
        <v>0.78</v>
      </c>
      <c r="D10" s="7">
        <v>0.2</v>
      </c>
      <c r="E10" s="7">
        <v>0.02</v>
      </c>
    </row>
    <row r="11" spans="1:11">
      <c r="A11">
        <v>10</v>
      </c>
      <c r="B11" t="s">
        <v>17</v>
      </c>
      <c r="C11" s="7">
        <v>0.71</v>
      </c>
      <c r="D11" s="7">
        <v>0.26</v>
      </c>
      <c r="E11" s="7">
        <v>0.03</v>
      </c>
    </row>
    <row r="12" spans="1:11">
      <c r="A12">
        <v>11</v>
      </c>
      <c r="B12" t="s">
        <v>18</v>
      </c>
      <c r="C12" s="7">
        <v>0.72</v>
      </c>
      <c r="D12" s="7">
        <v>0.25</v>
      </c>
      <c r="E12" s="7">
        <v>0.03</v>
      </c>
    </row>
    <row r="13" spans="1:11">
      <c r="A13">
        <v>12</v>
      </c>
      <c r="B13" t="s">
        <v>19</v>
      </c>
      <c r="C13" s="7">
        <v>0.81</v>
      </c>
      <c r="D13" s="7">
        <v>0.16</v>
      </c>
      <c r="E13" s="7">
        <v>0.03</v>
      </c>
    </row>
    <row r="14" spans="1:11">
      <c r="A14">
        <v>13</v>
      </c>
      <c r="B14" t="s">
        <v>20</v>
      </c>
      <c r="C14" s="7">
        <v>0.76</v>
      </c>
      <c r="D14" s="7">
        <v>0.22</v>
      </c>
      <c r="E14" s="7">
        <v>0.02</v>
      </c>
    </row>
    <row r="15" spans="1:11">
      <c r="A15">
        <v>14</v>
      </c>
      <c r="B15" t="s">
        <v>21</v>
      </c>
      <c r="C15" s="7">
        <v>0.71</v>
      </c>
      <c r="D15" s="7">
        <v>0.26</v>
      </c>
      <c r="E15" s="7">
        <v>0.03</v>
      </c>
    </row>
    <row r="16" spans="1:11">
      <c r="A16">
        <v>15</v>
      </c>
      <c r="B16" t="s">
        <v>22</v>
      </c>
      <c r="C16" s="7">
        <v>0.73</v>
      </c>
      <c r="D16" s="7">
        <v>0.25</v>
      </c>
      <c r="E16" s="7">
        <v>0.02</v>
      </c>
    </row>
    <row r="17" spans="1:5">
      <c r="A17">
        <v>16</v>
      </c>
      <c r="B17" t="s">
        <v>23</v>
      </c>
      <c r="C17" s="7">
        <v>0.76</v>
      </c>
      <c r="D17" s="7">
        <v>0.22</v>
      </c>
      <c r="E17" s="7">
        <v>0.02</v>
      </c>
    </row>
    <row r="18" spans="1:5">
      <c r="A18">
        <v>17</v>
      </c>
      <c r="B18" t="s">
        <v>24</v>
      </c>
      <c r="C18" s="7">
        <v>0.77</v>
      </c>
      <c r="D18" s="7">
        <v>0.21</v>
      </c>
      <c r="E18" s="7">
        <v>0.02</v>
      </c>
    </row>
    <row r="19" spans="1:5">
      <c r="A19">
        <v>18</v>
      </c>
      <c r="B19" t="s">
        <v>25</v>
      </c>
      <c r="C19" s="7">
        <v>0.72</v>
      </c>
      <c r="D19" s="7">
        <v>0.26</v>
      </c>
      <c r="E19" s="7">
        <v>0.02</v>
      </c>
    </row>
    <row r="20" spans="1:5">
      <c r="A20">
        <v>19</v>
      </c>
      <c r="B20" t="s">
        <v>26</v>
      </c>
      <c r="C20" s="7">
        <v>0.76</v>
      </c>
      <c r="D20" s="7">
        <v>0.21</v>
      </c>
      <c r="E20" s="7">
        <v>0.03</v>
      </c>
    </row>
    <row r="21" spans="1:5">
      <c r="A21">
        <v>20</v>
      </c>
      <c r="B21" t="s">
        <v>27</v>
      </c>
      <c r="C21" s="7">
        <v>0.77</v>
      </c>
      <c r="D21" s="7">
        <v>0.21</v>
      </c>
      <c r="E21" s="7">
        <v>0.02</v>
      </c>
    </row>
    <row r="22" spans="1:5">
      <c r="A22">
        <v>21</v>
      </c>
      <c r="B22" t="s">
        <v>28</v>
      </c>
      <c r="C22" s="7">
        <v>0.71</v>
      </c>
      <c r="D22" s="7">
        <v>0.27</v>
      </c>
      <c r="E22" s="7">
        <v>0.02</v>
      </c>
    </row>
    <row r="23" spans="1:5">
      <c r="A23">
        <v>22</v>
      </c>
      <c r="B23" t="s">
        <v>29</v>
      </c>
      <c r="C23" s="7">
        <v>0.73</v>
      </c>
      <c r="D23" s="7">
        <v>0.24</v>
      </c>
      <c r="E23" s="7">
        <v>0.03</v>
      </c>
    </row>
    <row r="24" spans="1:5">
      <c r="A24">
        <v>23</v>
      </c>
      <c r="B24" t="s">
        <v>30</v>
      </c>
      <c r="C24" s="7">
        <v>0.74</v>
      </c>
      <c r="D24" s="7">
        <v>0.24</v>
      </c>
      <c r="E24" s="7">
        <v>0.02</v>
      </c>
    </row>
    <row r="25" spans="1:5">
      <c r="A25">
        <v>24</v>
      </c>
      <c r="B25" t="s">
        <v>31</v>
      </c>
      <c r="C25" s="7">
        <v>0.77</v>
      </c>
      <c r="D25" s="7">
        <v>0.21</v>
      </c>
      <c r="E25" s="7">
        <v>0.02</v>
      </c>
    </row>
    <row r="26" spans="1:5">
      <c r="A26">
        <v>25</v>
      </c>
      <c r="B26" t="s">
        <v>32</v>
      </c>
      <c r="C26" s="7">
        <v>0.74</v>
      </c>
      <c r="D26" s="7">
        <v>0.23</v>
      </c>
      <c r="E26" s="7">
        <v>0.03</v>
      </c>
    </row>
    <row r="27" spans="1:5">
      <c r="A27">
        <v>26</v>
      </c>
      <c r="B27" t="s">
        <v>33</v>
      </c>
      <c r="C27" s="7">
        <v>0.76</v>
      </c>
      <c r="D27" s="7">
        <v>0.22</v>
      </c>
      <c r="E27" s="7">
        <v>0.02</v>
      </c>
    </row>
    <row r="28" spans="1:5">
      <c r="A28">
        <v>27</v>
      </c>
      <c r="B28" t="s">
        <v>34</v>
      </c>
      <c r="C28" s="7">
        <v>0.83</v>
      </c>
      <c r="D28" s="7">
        <v>0.15</v>
      </c>
      <c r="E28" s="7">
        <v>0.02</v>
      </c>
    </row>
    <row r="29" spans="1:5">
      <c r="A29">
        <v>28</v>
      </c>
      <c r="B29" t="s">
        <v>35</v>
      </c>
      <c r="C29" s="7">
        <v>0.78</v>
      </c>
      <c r="D29" s="7">
        <v>0.2</v>
      </c>
      <c r="E29" s="7">
        <v>0.02</v>
      </c>
    </row>
    <row r="30" spans="1:5">
      <c r="A30">
        <v>29</v>
      </c>
      <c r="B30" t="s">
        <v>36</v>
      </c>
      <c r="C30" s="7">
        <v>0.75</v>
      </c>
      <c r="D30" s="7">
        <v>0.23</v>
      </c>
      <c r="E30" s="7">
        <v>0.02</v>
      </c>
    </row>
    <row r="31" spans="1:5">
      <c r="A31">
        <v>30</v>
      </c>
      <c r="B31" t="s">
        <v>37</v>
      </c>
      <c r="C31" s="7">
        <v>0.75</v>
      </c>
      <c r="D31" s="7">
        <v>0.23</v>
      </c>
      <c r="E31" s="7">
        <v>0.02</v>
      </c>
    </row>
    <row r="32" spans="1:5">
      <c r="A32">
        <v>31</v>
      </c>
      <c r="B32" t="s">
        <v>38</v>
      </c>
      <c r="C32" s="7">
        <v>0.71</v>
      </c>
      <c r="D32" s="7">
        <v>0.26</v>
      </c>
      <c r="E32" s="7">
        <v>0.03</v>
      </c>
    </row>
    <row r="33" spans="1:5">
      <c r="A33">
        <v>32</v>
      </c>
      <c r="B33" t="s">
        <v>39</v>
      </c>
      <c r="C33" s="7">
        <v>0.76</v>
      </c>
      <c r="D33" s="7">
        <v>0.21</v>
      </c>
      <c r="E33" s="7">
        <v>0.03</v>
      </c>
    </row>
    <row r="34" spans="1:5">
      <c r="A34">
        <v>33</v>
      </c>
      <c r="B34" t="s">
        <v>40</v>
      </c>
      <c r="C34" s="7">
        <v>0.72</v>
      </c>
      <c r="D34" s="7">
        <v>0.25</v>
      </c>
      <c r="E34" s="7">
        <v>0.03</v>
      </c>
    </row>
    <row r="35" spans="1:5">
      <c r="A35">
        <v>34</v>
      </c>
      <c r="B35" t="s">
        <v>41</v>
      </c>
      <c r="C35" s="7">
        <v>0.72</v>
      </c>
      <c r="D35" s="7">
        <v>0.26</v>
      </c>
      <c r="E35" s="7">
        <v>0.02</v>
      </c>
    </row>
    <row r="36" spans="1:5">
      <c r="A36">
        <v>35</v>
      </c>
      <c r="B36" t="s">
        <v>42</v>
      </c>
      <c r="C36" s="7">
        <v>0.78</v>
      </c>
      <c r="D36" s="7">
        <v>0.2</v>
      </c>
      <c r="E36" s="7">
        <v>0.02</v>
      </c>
    </row>
    <row r="37" spans="1:5">
      <c r="A37">
        <v>36</v>
      </c>
      <c r="B37" t="s">
        <v>43</v>
      </c>
      <c r="C37" s="7">
        <v>0.72</v>
      </c>
      <c r="D37" s="7">
        <v>0.26</v>
      </c>
      <c r="E37" s="7">
        <v>0.02</v>
      </c>
    </row>
    <row r="38" spans="1:5">
      <c r="A38">
        <v>37</v>
      </c>
      <c r="B38" t="s">
        <v>44</v>
      </c>
      <c r="C38" s="7">
        <v>0.77</v>
      </c>
      <c r="D38" s="7">
        <v>0.21</v>
      </c>
      <c r="E38" s="7">
        <v>0.02</v>
      </c>
    </row>
    <row r="39" spans="1:5">
      <c r="A39">
        <v>38</v>
      </c>
      <c r="B39" t="s">
        <v>45</v>
      </c>
      <c r="C39" s="7">
        <v>0.76</v>
      </c>
      <c r="D39" s="7">
        <v>0.22</v>
      </c>
      <c r="E39" s="7">
        <v>0.02</v>
      </c>
    </row>
    <row r="40" spans="1:5">
      <c r="A40">
        <v>39</v>
      </c>
      <c r="B40" t="s">
        <v>46</v>
      </c>
      <c r="C40" s="7">
        <v>0.7</v>
      </c>
      <c r="D40" s="7">
        <v>0.28000000000000003</v>
      </c>
      <c r="E40" s="7">
        <v>0.02</v>
      </c>
    </row>
    <row r="41" spans="1:5">
      <c r="A41">
        <v>40</v>
      </c>
      <c r="B41" t="s">
        <v>47</v>
      </c>
      <c r="C41" s="7">
        <v>0.72</v>
      </c>
      <c r="D41" s="7">
        <v>0.25</v>
      </c>
      <c r="E41" s="7">
        <v>0.03</v>
      </c>
    </row>
    <row r="42" spans="1:5">
      <c r="A42">
        <v>41</v>
      </c>
      <c r="B42" t="s">
        <v>48</v>
      </c>
      <c r="C42" s="7">
        <v>0.73</v>
      </c>
      <c r="D42" s="7">
        <v>0.25</v>
      </c>
      <c r="E42" s="7">
        <v>0.02</v>
      </c>
    </row>
    <row r="43" spans="1:5">
      <c r="A43">
        <v>42</v>
      </c>
      <c r="B43" t="s">
        <v>49</v>
      </c>
      <c r="C43" s="7">
        <v>0.83</v>
      </c>
      <c r="D43" s="7">
        <v>0.15</v>
      </c>
      <c r="E43" s="7">
        <v>0.02</v>
      </c>
    </row>
    <row r="44" spans="1:5">
      <c r="A44">
        <v>43</v>
      </c>
      <c r="B44" t="s">
        <v>50</v>
      </c>
      <c r="C44" s="7">
        <v>0.74</v>
      </c>
      <c r="D44" s="7">
        <v>0.24</v>
      </c>
      <c r="E44" s="7">
        <v>0.02</v>
      </c>
    </row>
    <row r="45" spans="1:5">
      <c r="A45">
        <v>44</v>
      </c>
      <c r="B45" t="s">
        <v>51</v>
      </c>
      <c r="C45" s="7">
        <v>0.75</v>
      </c>
      <c r="D45" s="7">
        <v>0.22</v>
      </c>
      <c r="E45" s="7">
        <v>0.03</v>
      </c>
    </row>
    <row r="46" spans="1:5">
      <c r="A46">
        <v>45</v>
      </c>
      <c r="B46" t="s">
        <v>52</v>
      </c>
      <c r="C46" s="7">
        <v>0.74</v>
      </c>
      <c r="D46" s="7">
        <v>0.24</v>
      </c>
      <c r="E46" s="7">
        <v>0.02</v>
      </c>
    </row>
    <row r="47" spans="1:5">
      <c r="A47">
        <v>46</v>
      </c>
      <c r="B47" t="s">
        <v>53</v>
      </c>
      <c r="C47" s="7">
        <v>0.78</v>
      </c>
      <c r="D47" s="7">
        <v>0.19</v>
      </c>
      <c r="E47" s="7">
        <v>0.03</v>
      </c>
    </row>
    <row r="48" spans="1:5">
      <c r="A48">
        <v>47</v>
      </c>
      <c r="B48" t="s">
        <v>54</v>
      </c>
      <c r="C48" s="7">
        <v>0.7</v>
      </c>
      <c r="D48" s="7">
        <v>0.27</v>
      </c>
      <c r="E48" s="7">
        <v>0.03</v>
      </c>
    </row>
    <row r="49" spans="1:5">
      <c r="A49">
        <v>48</v>
      </c>
      <c r="B49" t="s">
        <v>55</v>
      </c>
      <c r="C49" s="7">
        <v>0.77</v>
      </c>
      <c r="D49" s="7">
        <v>0.21</v>
      </c>
      <c r="E49" s="7">
        <v>0.02</v>
      </c>
    </row>
    <row r="50" spans="1:5">
      <c r="A50">
        <v>49</v>
      </c>
      <c r="B50" t="s">
        <v>56</v>
      </c>
      <c r="C50" s="7">
        <v>0.72</v>
      </c>
      <c r="D50" s="7">
        <v>0.25</v>
      </c>
      <c r="E50" s="7">
        <v>0.03</v>
      </c>
    </row>
    <row r="51" spans="1:5">
      <c r="A51">
        <v>50</v>
      </c>
      <c r="B51" t="s">
        <v>57</v>
      </c>
      <c r="C51" s="7">
        <v>0.76</v>
      </c>
      <c r="D51" s="7">
        <v>0.22</v>
      </c>
      <c r="E51" s="7">
        <v>0.02</v>
      </c>
    </row>
    <row r="52" spans="1:5">
      <c r="A52">
        <v>51</v>
      </c>
      <c r="B52" t="s">
        <v>58</v>
      </c>
      <c r="C52" s="7">
        <v>0.79</v>
      </c>
      <c r="D52" s="7">
        <v>0.18</v>
      </c>
      <c r="E52" s="7">
        <v>0.03</v>
      </c>
    </row>
    <row r="53" spans="1:5">
      <c r="C53"/>
      <c r="D53"/>
      <c r="E53"/>
    </row>
    <row r="54" spans="1:5">
      <c r="C54"/>
      <c r="D54"/>
      <c r="E54"/>
    </row>
    <row r="55" spans="1:5">
      <c r="C55"/>
      <c r="D55"/>
      <c r="E55"/>
    </row>
    <row r="56" spans="1:5">
      <c r="C56"/>
      <c r="D56"/>
      <c r="E56"/>
    </row>
    <row r="57" spans="1:5">
      <c r="C57"/>
      <c r="D57"/>
      <c r="E57"/>
    </row>
    <row r="58" spans="1:5">
      <c r="C58"/>
      <c r="D58"/>
      <c r="E58"/>
    </row>
    <row r="59" spans="1:5">
      <c r="C59"/>
      <c r="D59"/>
      <c r="E59"/>
    </row>
    <row r="60" spans="1:5">
      <c r="C60"/>
      <c r="D60"/>
      <c r="E60"/>
    </row>
    <row r="61" spans="1:5">
      <c r="C61"/>
      <c r="D61"/>
      <c r="E61"/>
    </row>
    <row r="62" spans="1:5">
      <c r="C62"/>
      <c r="D62"/>
      <c r="E62"/>
    </row>
    <row r="63" spans="1:5">
      <c r="C63"/>
      <c r="D63"/>
      <c r="E63"/>
    </row>
    <row r="64" spans="1:5">
      <c r="C64"/>
      <c r="D64"/>
      <c r="E64"/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2F67F-7C8E-4CD5-B9E7-C516BBE11DA7}">
  <dimension ref="A1:AZ4"/>
  <sheetViews>
    <sheetView workbookViewId="0">
      <pane xSplit="1" ySplit="1" topLeftCell="B2" activePane="bottomRight" state="frozen"/>
      <selection pane="bottomRight" activeCell="B2" sqref="B2"/>
      <selection pane="bottomLeft" activeCell="A2" sqref="A2"/>
      <selection pane="topRight" activeCell="B1" sqref="B1"/>
    </sheetView>
  </sheetViews>
  <sheetFormatPr defaultColWidth="16.7109375" defaultRowHeight="14.45"/>
  <sheetData>
    <row r="1" spans="1:52">
      <c r="A1" s="2" t="s">
        <v>1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  <c r="AP1" t="s">
        <v>48</v>
      </c>
      <c r="AQ1" t="s">
        <v>49</v>
      </c>
      <c r="AR1" t="s">
        <v>50</v>
      </c>
      <c r="AS1" t="s">
        <v>51</v>
      </c>
      <c r="AT1" t="s">
        <v>52</v>
      </c>
      <c r="AU1" t="s">
        <v>53</v>
      </c>
      <c r="AV1" t="s">
        <v>54</v>
      </c>
      <c r="AW1" t="s">
        <v>55</v>
      </c>
      <c r="AX1" t="s">
        <v>56</v>
      </c>
      <c r="AY1" t="s">
        <v>57</v>
      </c>
      <c r="AZ1" t="s">
        <v>58</v>
      </c>
    </row>
    <row r="2" spans="1:52">
      <c r="A2" s="2" t="s">
        <v>2</v>
      </c>
      <c r="B2" s="7">
        <v>0.72</v>
      </c>
      <c r="C2" s="7">
        <v>0.81</v>
      </c>
      <c r="D2" s="7">
        <v>0.76</v>
      </c>
      <c r="E2" s="7">
        <v>0.73</v>
      </c>
      <c r="F2" s="7">
        <v>0.75</v>
      </c>
      <c r="G2" s="7">
        <v>0.78</v>
      </c>
      <c r="H2" s="7">
        <v>0.73</v>
      </c>
      <c r="I2" s="7">
        <v>0.7</v>
      </c>
      <c r="J2" s="7">
        <v>0.78</v>
      </c>
      <c r="K2" s="7">
        <v>0.71</v>
      </c>
      <c r="L2" s="7">
        <v>0.72</v>
      </c>
      <c r="M2" s="7">
        <v>0.81</v>
      </c>
      <c r="N2" s="7">
        <v>0.76</v>
      </c>
      <c r="O2" s="7">
        <v>0.71</v>
      </c>
      <c r="P2" s="7">
        <v>0.73</v>
      </c>
      <c r="Q2" s="7">
        <v>0.76</v>
      </c>
      <c r="R2" s="7">
        <v>0.77</v>
      </c>
      <c r="S2" s="7">
        <v>0.72</v>
      </c>
      <c r="T2" s="7">
        <v>0.76</v>
      </c>
      <c r="U2" s="7">
        <v>0.77</v>
      </c>
      <c r="V2" s="7">
        <v>0.71</v>
      </c>
      <c r="W2" s="7">
        <v>0.73</v>
      </c>
      <c r="X2" s="7">
        <v>0.74</v>
      </c>
      <c r="Y2" s="7">
        <v>0.77</v>
      </c>
      <c r="Z2" s="7">
        <v>0.74</v>
      </c>
      <c r="AA2" s="7">
        <v>0.76</v>
      </c>
      <c r="AB2" s="7">
        <v>0.83</v>
      </c>
      <c r="AC2" s="7">
        <v>0.78</v>
      </c>
      <c r="AD2" s="7">
        <v>0.75</v>
      </c>
      <c r="AE2" s="7">
        <v>0.75</v>
      </c>
      <c r="AF2" s="7">
        <v>0.71</v>
      </c>
      <c r="AG2" s="7">
        <v>0.76</v>
      </c>
      <c r="AH2" s="7">
        <v>0.72</v>
      </c>
      <c r="AI2" s="7">
        <v>0.72</v>
      </c>
      <c r="AJ2" s="7">
        <v>0.78</v>
      </c>
      <c r="AK2" s="7">
        <v>0.72</v>
      </c>
      <c r="AL2" s="7">
        <v>0.77</v>
      </c>
      <c r="AM2" s="7">
        <v>0.76</v>
      </c>
      <c r="AN2" s="7">
        <v>0.7</v>
      </c>
      <c r="AO2" s="7">
        <v>0.72</v>
      </c>
      <c r="AP2" s="7">
        <v>0.73</v>
      </c>
      <c r="AQ2" s="7">
        <v>0.83</v>
      </c>
      <c r="AR2" s="7">
        <v>0.74</v>
      </c>
      <c r="AS2" s="7">
        <v>0.75</v>
      </c>
      <c r="AT2" s="7">
        <v>0.74</v>
      </c>
      <c r="AU2" s="7">
        <v>0.78</v>
      </c>
      <c r="AV2" s="7">
        <v>0.7</v>
      </c>
      <c r="AW2" s="7">
        <v>0.77</v>
      </c>
      <c r="AX2" s="7">
        <v>0.72</v>
      </c>
      <c r="AY2" s="7">
        <v>0.76</v>
      </c>
      <c r="AZ2" s="7">
        <v>0.79</v>
      </c>
    </row>
    <row r="3" spans="1:52">
      <c r="A3" s="2" t="s">
        <v>3</v>
      </c>
      <c r="B3" s="7">
        <v>0.26</v>
      </c>
      <c r="C3" s="7">
        <v>0.17</v>
      </c>
      <c r="D3" s="7">
        <v>0.22</v>
      </c>
      <c r="E3" s="7">
        <v>0.24</v>
      </c>
      <c r="F3" s="7">
        <v>0.22</v>
      </c>
      <c r="G3" s="7">
        <v>0.2</v>
      </c>
      <c r="H3" s="7">
        <v>0.25</v>
      </c>
      <c r="I3" s="7">
        <v>0.27</v>
      </c>
      <c r="J3" s="7">
        <v>0.2</v>
      </c>
      <c r="K3" s="7">
        <v>0.26</v>
      </c>
      <c r="L3" s="7">
        <v>0.25</v>
      </c>
      <c r="M3" s="7">
        <v>0.16</v>
      </c>
      <c r="N3" s="7">
        <v>0.22</v>
      </c>
      <c r="O3" s="7">
        <v>0.26</v>
      </c>
      <c r="P3" s="7">
        <v>0.25</v>
      </c>
      <c r="Q3" s="7">
        <v>0.22</v>
      </c>
      <c r="R3" s="7">
        <v>0.21</v>
      </c>
      <c r="S3" s="7">
        <v>0.26</v>
      </c>
      <c r="T3" s="7">
        <v>0.21</v>
      </c>
      <c r="U3" s="7">
        <v>0.21</v>
      </c>
      <c r="V3" s="7">
        <v>0.27</v>
      </c>
      <c r="W3" s="7">
        <v>0.24</v>
      </c>
      <c r="X3" s="7">
        <v>0.24</v>
      </c>
      <c r="Y3" s="7">
        <v>0.21</v>
      </c>
      <c r="Z3" s="7">
        <v>0.23</v>
      </c>
      <c r="AA3" s="7">
        <v>0.22</v>
      </c>
      <c r="AB3" s="7">
        <v>0.15</v>
      </c>
      <c r="AC3" s="7">
        <v>0.2</v>
      </c>
      <c r="AD3" s="7">
        <v>0.23</v>
      </c>
      <c r="AE3" s="7">
        <v>0.23</v>
      </c>
      <c r="AF3" s="7">
        <v>0.26</v>
      </c>
      <c r="AG3" s="7">
        <v>0.21</v>
      </c>
      <c r="AH3" s="7">
        <v>0.25</v>
      </c>
      <c r="AI3" s="7">
        <v>0.26</v>
      </c>
      <c r="AJ3" s="7">
        <v>0.2</v>
      </c>
      <c r="AK3" s="7">
        <v>0.26</v>
      </c>
      <c r="AL3" s="7">
        <v>0.21</v>
      </c>
      <c r="AM3" s="7">
        <v>0.22</v>
      </c>
      <c r="AN3" s="7">
        <v>0.28000000000000003</v>
      </c>
      <c r="AO3" s="7">
        <v>0.25</v>
      </c>
      <c r="AP3" s="7">
        <v>0.25</v>
      </c>
      <c r="AQ3" s="7">
        <v>0.15</v>
      </c>
      <c r="AR3" s="7">
        <v>0.24</v>
      </c>
      <c r="AS3" s="7">
        <v>0.22</v>
      </c>
      <c r="AT3" s="7">
        <v>0.24</v>
      </c>
      <c r="AU3" s="7">
        <v>0.19</v>
      </c>
      <c r="AV3" s="7">
        <v>0.27</v>
      </c>
      <c r="AW3" s="7">
        <v>0.21</v>
      </c>
      <c r="AX3" s="7">
        <v>0.25</v>
      </c>
      <c r="AY3" s="7">
        <v>0.22</v>
      </c>
      <c r="AZ3" s="7">
        <v>0.18</v>
      </c>
    </row>
    <row r="4" spans="1:52">
      <c r="A4" s="2" t="s">
        <v>4</v>
      </c>
      <c r="B4" s="7">
        <v>0.02</v>
      </c>
      <c r="C4" s="7">
        <v>0.02</v>
      </c>
      <c r="D4" s="7">
        <v>0.02</v>
      </c>
      <c r="E4" s="7">
        <v>0.03</v>
      </c>
      <c r="F4" s="7">
        <v>0.03</v>
      </c>
      <c r="G4" s="7">
        <v>0.02</v>
      </c>
      <c r="H4" s="7">
        <v>0.02</v>
      </c>
      <c r="I4" s="7">
        <v>0.03</v>
      </c>
      <c r="J4" s="7">
        <v>0.02</v>
      </c>
      <c r="K4" s="7">
        <v>0.03</v>
      </c>
      <c r="L4" s="7">
        <v>0.03</v>
      </c>
      <c r="M4" s="7">
        <v>0.03</v>
      </c>
      <c r="N4" s="7">
        <v>0.02</v>
      </c>
      <c r="O4" s="7">
        <v>0.03</v>
      </c>
      <c r="P4" s="7">
        <v>0.02</v>
      </c>
      <c r="Q4" s="7">
        <v>0.02</v>
      </c>
      <c r="R4" s="7">
        <v>0.02</v>
      </c>
      <c r="S4" s="7">
        <v>0.02</v>
      </c>
      <c r="T4" s="7">
        <v>0.03</v>
      </c>
      <c r="U4" s="7">
        <v>0.02</v>
      </c>
      <c r="V4" s="7">
        <v>0.02</v>
      </c>
      <c r="W4" s="7">
        <v>0.03</v>
      </c>
      <c r="X4" s="7">
        <v>0.02</v>
      </c>
      <c r="Y4" s="7">
        <v>0.02</v>
      </c>
      <c r="Z4" s="7">
        <v>0.03</v>
      </c>
      <c r="AA4" s="7">
        <v>0.02</v>
      </c>
      <c r="AB4" s="7">
        <v>0.02</v>
      </c>
      <c r="AC4" s="7">
        <v>0.02</v>
      </c>
      <c r="AD4" s="7">
        <v>0.02</v>
      </c>
      <c r="AE4" s="7">
        <v>0.02</v>
      </c>
      <c r="AF4" s="7">
        <v>0.03</v>
      </c>
      <c r="AG4" s="7">
        <v>0.03</v>
      </c>
      <c r="AH4" s="7">
        <v>0.03</v>
      </c>
      <c r="AI4" s="7">
        <v>0.02</v>
      </c>
      <c r="AJ4" s="7">
        <v>0.02</v>
      </c>
      <c r="AK4" s="7">
        <v>0.02</v>
      </c>
      <c r="AL4" s="7">
        <v>0.02</v>
      </c>
      <c r="AM4" s="7">
        <v>0.02</v>
      </c>
      <c r="AN4" s="7">
        <v>0.02</v>
      </c>
      <c r="AO4" s="7">
        <v>0.03</v>
      </c>
      <c r="AP4" s="7">
        <v>0.02</v>
      </c>
      <c r="AQ4" s="7">
        <v>0.02</v>
      </c>
      <c r="AR4" s="7">
        <v>0.02</v>
      </c>
      <c r="AS4" s="7">
        <v>0.03</v>
      </c>
      <c r="AT4" s="7">
        <v>0.02</v>
      </c>
      <c r="AU4" s="7">
        <v>0.03</v>
      </c>
      <c r="AV4" s="7">
        <v>0.03</v>
      </c>
      <c r="AW4" s="7">
        <v>0.02</v>
      </c>
      <c r="AX4" s="7">
        <v>0.03</v>
      </c>
      <c r="AY4" s="7">
        <v>0.02</v>
      </c>
      <c r="AZ4" s="7">
        <v>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0AA40-CBCC-4D17-BA4E-0559B75A6042}">
  <dimension ref="A1:D26"/>
  <sheetViews>
    <sheetView tabSelected="1" workbookViewId="0">
      <selection activeCell="G25" sqref="G25"/>
    </sheetView>
  </sheetViews>
  <sheetFormatPr defaultColWidth="15.140625" defaultRowHeight="14.45"/>
  <cols>
    <col min="1" max="1" width="12.42578125" bestFit="1" customWidth="1"/>
    <col min="2" max="2" width="16.42578125" bestFit="1" customWidth="1"/>
    <col min="3" max="3" width="15.5703125" bestFit="1" customWidth="1"/>
  </cols>
  <sheetData>
    <row r="1" spans="1:4">
      <c r="A1" s="2" t="s">
        <v>59</v>
      </c>
      <c r="B1" s="2" t="s">
        <v>60</v>
      </c>
      <c r="C1" s="5" t="s">
        <v>61</v>
      </c>
      <c r="D1" s="2" t="s">
        <v>62</v>
      </c>
    </row>
    <row r="2" spans="1:4">
      <c r="A2" s="4" t="s">
        <v>55</v>
      </c>
      <c r="B2" t="s">
        <v>63</v>
      </c>
      <c r="C2" s="6">
        <f>VLOOKUP('Sales region lookup'!A2, 'By search term'!B:C, 2, FALSE)</f>
        <v>0.77</v>
      </c>
      <c r="D2" s="11">
        <f>_xlfn.XLOOKUP(A2, 'By search term'!B1:B52, 'By search term'!D1:D52, "not found")</f>
        <v>0.21</v>
      </c>
    </row>
    <row r="3" spans="1:4">
      <c r="A3" t="s">
        <v>45</v>
      </c>
      <c r="B3" t="s">
        <v>63</v>
      </c>
      <c r="C3" s="6">
        <f>VLOOKUP('Sales region lookup'!A3, 'By search term'!B:C, 2, FALSE)</f>
        <v>0.76</v>
      </c>
      <c r="D3" s="11">
        <f>_xlfn.XLOOKUP(A3, 'By search term'!B2:B53, 'By search term'!D2:D53, "not found")</f>
        <v>0.22</v>
      </c>
    </row>
    <row r="4" spans="1:4">
      <c r="A4" t="s">
        <v>20</v>
      </c>
      <c r="B4" t="s">
        <v>63</v>
      </c>
      <c r="C4" s="6">
        <f>VLOOKUP('Sales region lookup'!A4, 'By search term'!B:C, 2, FALSE)</f>
        <v>0.76</v>
      </c>
      <c r="D4" s="11">
        <f>_xlfn.XLOOKUP(A4, 'By search term'!B3:B54, 'By search term'!D3:D54, "not found")</f>
        <v>0.22</v>
      </c>
    </row>
    <row r="5" spans="1:4">
      <c r="A5" t="s">
        <v>34</v>
      </c>
      <c r="B5" t="s">
        <v>63</v>
      </c>
      <c r="C5" s="6">
        <f>VLOOKUP('Sales region lookup'!A5, 'By search term'!B:C, 2, FALSE)</f>
        <v>0.83</v>
      </c>
      <c r="D5" s="11">
        <f>_xlfn.XLOOKUP(A5, 'By search term'!B4:B55, 'By search term'!D4:D55, "not found")</f>
        <v>0.15</v>
      </c>
    </row>
    <row r="6" spans="1:4">
      <c r="A6" t="s">
        <v>42</v>
      </c>
      <c r="B6" t="s">
        <v>64</v>
      </c>
      <c r="C6" s="6">
        <f>VLOOKUP('Sales region lookup'!A6, 'By search term'!B:C, 2, FALSE)</f>
        <v>0.78</v>
      </c>
      <c r="D6" s="11">
        <f>_xlfn.XLOOKUP(A6, 'By search term'!B5:B56, 'By search term'!D5:D56, "not found")</f>
        <v>0.2</v>
      </c>
    </row>
    <row r="7" spans="1:4">
      <c r="A7" t="s">
        <v>49</v>
      </c>
      <c r="B7" t="s">
        <v>64</v>
      </c>
      <c r="C7" s="6">
        <f>VLOOKUP('Sales region lookup'!A7, 'By search term'!B:C, 2, FALSE)</f>
        <v>0.83</v>
      </c>
      <c r="D7" s="11">
        <f>_xlfn.XLOOKUP(A7, 'By search term'!B6:B57, 'By search term'!D6:D57, "not found")</f>
        <v>0.15</v>
      </c>
    </row>
    <row r="8" spans="1:4">
      <c r="A8" t="s">
        <v>35</v>
      </c>
      <c r="B8" t="s">
        <v>64</v>
      </c>
      <c r="C8" s="6">
        <f>VLOOKUP('Sales region lookup'!A8, 'By search term'!B:C, 2, FALSE)</f>
        <v>0.78</v>
      </c>
      <c r="D8" s="11">
        <f>_xlfn.XLOOKUP(A8, 'By search term'!B7:B58, 'By search term'!D7:D58, "not found")</f>
        <v>0.2</v>
      </c>
    </row>
    <row r="9" spans="1:4" ht="15.6" customHeight="1">
      <c r="A9" t="s">
        <v>31</v>
      </c>
      <c r="B9" t="s">
        <v>64</v>
      </c>
      <c r="C9" s="6">
        <f>VLOOKUP('Sales region lookup'!A9, 'By search term'!B:C, 2, FALSE)</f>
        <v>0.77</v>
      </c>
      <c r="D9" s="11">
        <f>_xlfn.XLOOKUP(A9, 'By search term'!B8:B59, 'By search term'!D8:D59, "not found")</f>
        <v>0.21</v>
      </c>
    </row>
    <row r="10" spans="1:4">
      <c r="A10" t="s">
        <v>57</v>
      </c>
      <c r="B10" t="s">
        <v>64</v>
      </c>
      <c r="C10" s="6">
        <f>VLOOKUP('Sales region lookup'!A10, 'By search term'!B:C, 2, FALSE)</f>
        <v>0.76</v>
      </c>
      <c r="D10" s="11">
        <f>_xlfn.XLOOKUP(A10, 'By search term'!B9:B60, 'By search term'!D9:D60, "not found")</f>
        <v>0.22</v>
      </c>
    </row>
    <row r="11" spans="1:4" ht="15" customHeight="1">
      <c r="A11" t="s">
        <v>30</v>
      </c>
      <c r="B11" t="s">
        <v>64</v>
      </c>
      <c r="C11" s="6">
        <f>VLOOKUP('Sales region lookup'!A11, 'By search term'!B:C, 2, FALSE)</f>
        <v>0.74</v>
      </c>
      <c r="D11" s="11">
        <f>_xlfn.XLOOKUP(A11, 'By search term'!B10:B61, 'By search term'!D10:D61, "not found")</f>
        <v>0.24</v>
      </c>
    </row>
    <row r="13" spans="1:4">
      <c r="A13" s="12" t="s">
        <v>60</v>
      </c>
      <c r="B13" t="s">
        <v>65</v>
      </c>
    </row>
    <row r="15" spans="1:4">
      <c r="A15" s="12" t="s">
        <v>66</v>
      </c>
      <c r="B15" t="s">
        <v>67</v>
      </c>
      <c r="C15" t="s">
        <v>68</v>
      </c>
    </row>
    <row r="16" spans="1:4">
      <c r="A16" s="3" t="s">
        <v>20</v>
      </c>
      <c r="B16" s="7">
        <v>0.76</v>
      </c>
      <c r="C16" s="7">
        <v>0.22</v>
      </c>
    </row>
    <row r="17" spans="1:3">
      <c r="A17" s="3" t="s">
        <v>30</v>
      </c>
      <c r="B17" s="7">
        <v>0.74</v>
      </c>
      <c r="C17" s="7">
        <v>0.24</v>
      </c>
    </row>
    <row r="18" spans="1:3">
      <c r="A18" s="3" t="s">
        <v>31</v>
      </c>
      <c r="B18" s="7">
        <v>0.77</v>
      </c>
      <c r="C18" s="7">
        <v>0.21</v>
      </c>
    </row>
    <row r="19" spans="1:3">
      <c r="A19" s="3" t="s">
        <v>34</v>
      </c>
      <c r="B19" s="7">
        <v>0.83</v>
      </c>
      <c r="C19" s="7">
        <v>0.15</v>
      </c>
    </row>
    <row r="20" spans="1:3">
      <c r="A20" s="3" t="s">
        <v>35</v>
      </c>
      <c r="B20" s="7">
        <v>0.78</v>
      </c>
      <c r="C20" s="7">
        <v>0.2</v>
      </c>
    </row>
    <row r="21" spans="1:3">
      <c r="A21" s="3" t="s">
        <v>42</v>
      </c>
      <c r="B21" s="7">
        <v>0.78</v>
      </c>
      <c r="C21" s="7">
        <v>0.2</v>
      </c>
    </row>
    <row r="22" spans="1:3">
      <c r="A22" s="3" t="s">
        <v>45</v>
      </c>
      <c r="B22" s="7">
        <v>0.76</v>
      </c>
      <c r="C22" s="7">
        <v>0.22</v>
      </c>
    </row>
    <row r="23" spans="1:3">
      <c r="A23" s="3" t="s">
        <v>49</v>
      </c>
      <c r="B23" s="7">
        <v>0.83</v>
      </c>
      <c r="C23" s="7">
        <v>0.15</v>
      </c>
    </row>
    <row r="24" spans="1:3">
      <c r="A24" s="3" t="s">
        <v>55</v>
      </c>
      <c r="B24" s="7">
        <v>0.77</v>
      </c>
      <c r="C24" s="7">
        <v>0.21</v>
      </c>
    </row>
    <row r="25" spans="1:3">
      <c r="A25" s="3" t="s">
        <v>57</v>
      </c>
      <c r="B25" s="7">
        <v>0.76</v>
      </c>
      <c r="C25" s="7">
        <v>0.22</v>
      </c>
    </row>
    <row r="26" spans="1:3">
      <c r="A26" s="3" t="s">
        <v>69</v>
      </c>
      <c r="B26" s="7">
        <v>7.7799999999999994</v>
      </c>
      <c r="C26" s="7">
        <v>2.02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5" ma:contentTypeDescription="Create a new document." ma:contentTypeScope="" ma:versionID="b03bbc9001f408e5d63252b1898fb56b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b210d7d1dd2ec113c5acce4bfd2f11b7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CD712FF-F517-4A93-8F2C-DD41C25D08E0}"/>
</file>

<file path=customXml/itemProps2.xml><?xml version="1.0" encoding="utf-8"?>
<ds:datastoreItem xmlns:ds="http://schemas.openxmlformats.org/officeDocument/2006/customXml" ds:itemID="{B218B749-AD48-48EA-9A9B-0691EF23C6CD}"/>
</file>

<file path=customXml/itemProps3.xml><?xml version="1.0" encoding="utf-8"?>
<ds:datastoreItem xmlns:ds="http://schemas.openxmlformats.org/officeDocument/2006/customXml" ds:itemID="{EEE6570C-BC1B-45FD-892D-B172D72ECB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2026-04-10T19:27:05Z</dcterms:created>
  <dcterms:modified xsi:type="dcterms:W3CDTF">2026-04-13T05:37:55Z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